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cd63354e674d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annames" sheetId="1" r:id="R242aa3cd92d840c2"/>
    <x:sheet xmlns:r="http://schemas.openxmlformats.org/officeDocument/2006/relationships" name="Maandprognose" sheetId="2" r:id="R77fb8fb64fa44a83"/>
    <x:sheet xmlns:r="http://schemas.openxmlformats.org/officeDocument/2006/relationships" name="Kwartaal" sheetId="3" r:id="R8a33b11f0e464a55"/>
    <x:sheet xmlns:r="http://schemas.openxmlformats.org/officeDocument/2006/relationships" name="Scenario-overzicht" sheetId="4" r:id="Rf78a368420e04d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€#,##0;[Red](€#,##0);&quot;-&quot;"/>
  </x:numFmts>
  <x:fonts count="4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4263D"/>
      </x:patternFill>
    </x:fill>
    <x:fill>
      <x:patternFill patternType="solid">
        <x:fgColor rgb="FFFFF0B3"/>
      </x:patternFill>
    </x:fill>
    <x:fill>
      <x:patternFill patternType="solid">
        <x:fgColor rgb="FFEAF3F7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200" fontId="3" fillId="3" borderId="0" xfId="0" applyNumberFormat="1" applyFont="1" applyFill="1" applyBorder="1"/>
    <x:xf numFmtId="200" fontId="3" fillId="3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0" fillId="4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e7dba9834e4ee9" /><Relationship Type="http://schemas.openxmlformats.org/officeDocument/2006/relationships/theme" Target="/xl/theme/theme1.xml" Id="R8d42ffd8314b418f" /><Relationship Type="http://schemas.openxmlformats.org/officeDocument/2006/relationships/sharedStrings" Target="/xl/sharedStrings.xml" Id="R713331a4579645b3" /><Relationship Type="http://schemas.openxmlformats.org/officeDocument/2006/relationships/worksheet" Target="/xl/worksheets/sheet1.xml" Id="R242aa3cd92d840c2" /><Relationship Type="http://schemas.openxmlformats.org/officeDocument/2006/relationships/worksheet" Target="/xl/worksheets/sheet2.xml" Id="R77fb8fb64fa44a83" /><Relationship Type="http://schemas.openxmlformats.org/officeDocument/2006/relationships/worksheet" Target="/xl/worksheets/sheet3.xml" Id="R8a33b11f0e464a55" /><Relationship Type="http://schemas.openxmlformats.org/officeDocument/2006/relationships/worksheet" Target="/xl/worksheets/sheet4.xml" Id="Rf78a368420e04de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35" hidden="0" customWidth="1"/>
    <x:col min="2" max="2" width="15" hidden="0" customWidth="1"/>
    <x:col min="3" max="3" width="24" hidden="0" customWidth="1"/>
    <x:col min="4" max="4" width="51" hidden="0" customWidth="1"/>
  </x:cols>
  <x:sheetData>
    <x:row r="1" ht="36" customHeight="1">
      <x:c r="A1" s="3" t="str">
        <x:v>Westend Digital | Financiële aannames</x:v>
      </x:c>
      <x:c r="B1" s="3"/>
      <x:c r="C1" s="3"/>
      <x:c r="D1" s="3"/>
    </x:row>
    <x:row r="3" ht="27" customHeight="1">
      <x:c r="A3" s="6" t="str">
        <x:v>Parameter</x:v>
      </x:c>
      <x:c r="B3" s="6" t="str">
        <x:v>Waarde</x:v>
      </x:c>
      <x:c r="C3" s="6" t="str">
        <x:v>Eenheid</x:v>
      </x:c>
      <x:c r="D3" s="6" t="str">
        <x:v>Status / toelichting</x:v>
      </x:c>
    </x:row>
    <x:row r="4">
      <x:c r="A4" t="str">
        <x:v>Eenmalige implementatie</x:v>
      </x:c>
      <x:c r="B4" s="12" t="n">
        <x:v>999</x:v>
      </x:c>
      <x:c r="C4" t="str">
        <x:v>EUR</x:v>
      </x:c>
      <x:c r="D4" t="str">
        <x:v>Afgesproken verkoopprijs</x:v>
      </x:c>
    </x:row>
    <x:row r="5">
      <x:c r="A5" t="str">
        <x:v>Basis abonnement</x:v>
      </x:c>
      <x:c r="B5" s="12" t="n">
        <x:v>249</x:v>
      </x:c>
      <x:c r="C5" t="str">
        <x:v>EUR / maand</x:v>
      </x:c>
      <x:c r="D5" t="str">
        <x:v>Doelprijs</x:v>
      </x:c>
    </x:row>
    <x:row r="6">
      <x:c r="A6" t="str">
        <x:v>Eigen urenwaarde</x:v>
      </x:c>
      <x:c r="B6" s="12" t="n">
        <x:v>75</x:v>
      </x:c>
      <x:c r="C6" t="str">
        <x:v>EUR / uur</x:v>
      </x:c>
      <x:c r="D6" t="str">
        <x:v>Door gebruiker opgegeven</x:v>
      </x:c>
    </x:row>
    <x:row r="7">
      <x:c r="A7" t="str">
        <x:v>Websitebouw</x:v>
      </x:c>
      <x:c r="B7" s="9" t="n">
        <x:v>3</x:v>
      </x:c>
      <x:c r="C7" t="str">
        <x:v>uur / website</x:v>
      </x:c>
      <x:c r="D7" t="str">
        <x:v>Inclusief AI-assistentie/QA</x:v>
      </x:c>
    </x:row>
    <x:row r="8">
      <x:c r="A8" t="str">
        <x:v>Onboarding</x:v>
      </x:c>
      <x:c r="B8" s="9" t="n">
        <x:v>1.5</x:v>
      </x:c>
      <x:c r="C8" t="str">
        <x:v>uur / klant</x:v>
      </x:c>
      <x:c r="D8" t="str">
        <x:v>Werkhypothese</x:v>
      </x:c>
    </x:row>
    <x:row r="9">
      <x:c r="A9" t="str">
        <x:v>Acquisitie per verkoopmaand</x:v>
      </x:c>
      <x:c r="B9" s="9" t="n">
        <x:v>70</x:v>
      </x:c>
      <x:c r="C9" t="str">
        <x:v>uur / maand</x:v>
      </x:c>
      <x:c r="D9" t="str">
        <x:v>3–4 uur per werkdag</x:v>
      </x:c>
    </x:row>
    <x:row r="10">
      <x:c r="A10" t="str">
        <x:v>Service per actieve klant</x:v>
      </x:c>
      <x:c r="B10" s="9" t="n">
        <x:v>0.5</x:v>
      </x:c>
      <x:c r="C10" t="str">
        <x:v>uur / maand</x:v>
      </x:c>
      <x:c r="D10" t="str">
        <x:v>Werkhypothese</x:v>
      </x:c>
    </x:row>
    <x:row r="11">
      <x:c r="A11" t="str">
        <x:v>Productbeheer</x:v>
      </x:c>
      <x:c r="B11" s="9" t="n">
        <x:v>18</x:v>
      </x:c>
      <x:c r="C11" t="str">
        <x:v>uur / maand</x:v>
      </x:c>
      <x:c r="D11" t="str">
        <x:v>Werkhypothese</x:v>
      </x:c>
    </x:row>
    <x:row r="12">
      <x:c r="A12" t="str">
        <x:v>Externe variabele kosten</x:v>
      </x:c>
      <x:c r="B12" s="12" t="n">
        <x:v>23</x:v>
      </x:c>
      <x:c r="C12" t="str">
        <x:v>EUR / actieve klant</x:v>
      </x:c>
      <x:c r="D12" t="str">
        <x:v>Werkhypothese</x:v>
      </x:c>
    </x:row>
    <x:row r="13">
      <x:c r="A13" t="str">
        <x:v>Vaste externe kosten</x:v>
      </x:c>
      <x:c r="B13" s="12" t="n">
        <x:v>350</x:v>
      </x:c>
      <x:c r="C13" t="str">
        <x:v>EUR / maand</x:v>
      </x:c>
      <x:c r="D13" t="str">
        <x:v>Werkhypothese</x:v>
      </x:c>
    </x:row>
    <x:row r="14">
      <x:c r="A14" t="str">
        <x:v>Initiële bouwuren</x:v>
      </x:c>
      <x:c r="B14" s="9" t="n">
        <x:v>300</x:v>
      </x:c>
      <x:c r="C14" t="str">
        <x:v>uur M1–M3</x:v>
      </x:c>
      <x:c r="D14" t="str">
        <x:v>Werkhypothese</x:v>
      </x:c>
    </x:row>
    <x:row r="15">
      <x:c r="A15" t="str">
        <x:v>Eenmalige setupkosten</x:v>
      </x:c>
      <x:c r="B15" s="12" t="n">
        <x:v>1500</x:v>
      </x:c>
      <x:c r="C15" t="str">
        <x:v>EUR in M1</x:v>
      </x:c>
      <x:c r="D15" t="str">
        <x:v>Werkhypothese</x:v>
      </x:c>
    </x:row>
    <x:row r="16">
      <x:c r="A16" t="str">
        <x:v>Meta Ads testbudget</x:v>
      </x:c>
      <x:c r="B16" s="12" t="n">
        <x:v>0</x:v>
      </x:c>
      <x:c r="C16" t="str">
        <x:v>EUR / maand</x:v>
      </x:c>
      <x:c r="D16" t="str">
        <x:v>0 tot expliciete go/no-go, later instelbaar</x:v>
      </x:c>
    </x:row>
    <x:row r="19" ht="32" customHeight="1">
      <x:c r="A19" s="15" t="str">
        <x:v>Let op</x:v>
      </x:c>
      <x:c r="B19" s="15" t="str">
        <x:v>Jaar 1 verkoop = M4–M15</x:v>
      </x:c>
      <x:c r="C19" s="15" t="str">
        <x:v>Eigen uren = economische kosten</x:v>
      </x:c>
      <x:c r="D19" s="15" t="str">
        <x:v>Meta Ads niet in basiscase opgenomen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7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</x:cols>
  <x:sheetData>
    <x:row r="1" ht="36" customHeight="1">
      <x:c r="A1" s="3" t="str">
        <x:v>Maandprognose | M1–M3 herbouw, M4–M15 verkoop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3" ht="27" customHeight="1">
      <x:c r="A3" s="6" t="str">
        <x:v>Scenario</x:v>
      </x:c>
      <x:c r="B3" s="6" t="str">
        <x:v>Maand</x:v>
      </x:c>
      <x:c r="C3" s="6" t="str">
        <x:v>Verkoopmaand</x:v>
      </x:c>
      <x:c r="D3" s="6" t="str">
        <x:v>Nieuwe klanten</x:v>
      </x:c>
      <x:c r="E3" s="6" t="str">
        <x:v>Actief totaal</x:v>
      </x:c>
      <x:c r="F3" s="6" t="str">
        <x:v>Implementatie omzet</x:v>
      </x:c>
      <x:c r="G3" s="6" t="str">
        <x:v>MRR</x:v>
      </x:c>
      <x:c r="H3" s="6" t="str">
        <x:v>Totale omzet</x:v>
      </x:c>
      <x:c r="I3" s="6" t="str">
        <x:v>Externe kosten</x:v>
      </x:c>
      <x:c r="J3" s="6" t="str">
        <x:v>Acquisitie uren</x:v>
      </x:c>
      <x:c r="K3" s="6" t="str">
        <x:v>Eigen uren totaal</x:v>
      </x:c>
      <x:c r="L3" s="6" t="str">
        <x:v>Economisch resultaat</x:v>
      </x:c>
      <x:c r="M3" s="6" t="str">
        <x:v>Cashbijdrage</x:v>
      </x:c>
      <x:c r="N3" s="6" t="str">
        <x:v>Cumulatief econ.</x:v>
      </x:c>
      <x:c r="O3" s="6" t="str">
        <x:v>Cumulatief cash</x:v>
      </x:c>
    </x:row>
    <x:row r="4">
      <x:c r="A4" t="str">
        <x:v>Voorzichtig</x:v>
      </x:c>
      <x:c r="B4" t="n">
        <x:v>1</x:v>
      </x:c>
      <x:c r="C4" t="n">
        <x:v>0</x:v>
      </x:c>
      <x:c r="D4" t="n">
        <x:v>0</x:v>
      </x:c>
      <x:c r="E4" t="n">
        <x:f>D4</x:f>
        <x:v>0</x:v>
      </x:c>
      <x:c r="F4" s="18" t="n">
        <x:f>D4*Aannames!$B$4</x:f>
        <x:v>0</x:v>
      </x:c>
      <x:c r="G4" s="18" t="n">
        <x:f>E4*Aannames!$B$5</x:f>
        <x:v>0</x:v>
      </x:c>
      <x:c r="H4" s="18" t="n">
        <x:f>F4+G4</x:f>
        <x:v>0</x:v>
      </x:c>
      <x:c r="I4" s="18" t="n">
        <x:f>E4*Aannames!$B$12+Aannames!$B$13+Aannames!$B$15+IF(C4&gt;0,Aannames!$B$16,0)</x:f>
        <x:v>1850</x:v>
      </x:c>
      <x:c r="J4" t="n">
        <x:f>IF(C4&gt;0,Aannames!$B$9,0)</x:f>
        <x:v>0</x:v>
      </x:c>
      <x:c r="K4" t="n">
        <x:f>D4*(Aannames!$B$7+Aannames!$B$8)+E4*Aannames!$B$10+Aannames!$B$11+J4+Aannames!$B$14/3</x:f>
        <x:v>118</x:v>
      </x:c>
      <x:c r="L4" s="18" t="n">
        <x:f>H4-I4-K4*Aannames!$B$6</x:f>
        <x:v>-10700</x:v>
      </x:c>
      <x:c r="M4" s="18" t="n">
        <x:f>H4-I4</x:f>
        <x:v>-1850</x:v>
      </x:c>
      <x:c r="N4" s="18" t="n">
        <x:f>L4</x:f>
        <x:v>-10700</x:v>
      </x:c>
      <x:c r="O4" s="18" t="n">
        <x:f>M4</x:f>
        <x:v>-1850</x:v>
      </x:c>
    </x:row>
    <x:row r="5">
      <x:c r="A5" t="str">
        <x:v>Voorzichtig</x:v>
      </x:c>
      <x:c r="B5" t="n">
        <x:v>2</x:v>
      </x:c>
      <x:c r="C5" t="n">
        <x:v>0</x:v>
      </x:c>
      <x:c r="D5" t="n">
        <x:v>0</x:v>
      </x:c>
      <x:c r="E5" t="n">
        <x:f>D5+E4</x:f>
        <x:v>0</x:v>
      </x:c>
      <x:c r="F5" s="18" t="n">
        <x:f>D5*Aannames!$B$4</x:f>
        <x:v>0</x:v>
      </x:c>
      <x:c r="G5" s="18" t="n">
        <x:f>E5*Aannames!$B$5</x:f>
        <x:v>0</x:v>
      </x:c>
      <x:c r="H5" s="18" t="n">
        <x:f>F5+G5</x:f>
        <x:v>0</x:v>
      </x:c>
      <x:c r="I5" s="18" t="n">
        <x:f>E5*Aannames!$B$12+Aannames!$B$13+IF(C5&gt;0,Aannames!$B$16,0)</x:f>
        <x:v>350</x:v>
      </x:c>
      <x:c r="J5" t="n">
        <x:f>IF(C5&gt;0,Aannames!$B$9,0)</x:f>
        <x:v>0</x:v>
      </x:c>
      <x:c r="K5" t="n">
        <x:f>D5*(Aannames!$B$7+Aannames!$B$8)+E5*Aannames!$B$10+Aannames!$B$11+J5+Aannames!$B$14/3</x:f>
        <x:v>118</x:v>
      </x:c>
      <x:c r="L5" s="18" t="n">
        <x:f>H5-I5-K5*Aannames!$B$6</x:f>
        <x:v>-9200</x:v>
      </x:c>
      <x:c r="M5" s="18" t="n">
        <x:f>H5-I5</x:f>
        <x:v>-350</x:v>
      </x:c>
      <x:c r="N5" s="18" t="n">
        <x:f>L5+N4</x:f>
        <x:v>-19900</x:v>
      </x:c>
      <x:c r="O5" s="18" t="n">
        <x:f>M5+O4</x:f>
        <x:v>-2200</x:v>
      </x:c>
    </x:row>
    <x:row r="6">
      <x:c r="A6" t="str">
        <x:v>Voorzichtig</x:v>
      </x:c>
      <x:c r="B6" t="n">
        <x:v>3</x:v>
      </x:c>
      <x:c r="C6" t="n">
        <x:v>0</x:v>
      </x:c>
      <x:c r="D6" t="n">
        <x:v>0</x:v>
      </x:c>
      <x:c r="E6" t="n">
        <x:f>D6+E5</x:f>
        <x:v>0</x:v>
      </x:c>
      <x:c r="F6" s="18" t="n">
        <x:f>D6*Aannames!$B$4</x:f>
        <x:v>0</x:v>
      </x:c>
      <x:c r="G6" s="18" t="n">
        <x:f>E6*Aannames!$B$5</x:f>
        <x:v>0</x:v>
      </x:c>
      <x:c r="H6" s="18" t="n">
        <x:f>F6+G6</x:f>
        <x:v>0</x:v>
      </x:c>
      <x:c r="I6" s="18" t="n">
        <x:f>E6*Aannames!$B$12+Aannames!$B$13+IF(C6&gt;0,Aannames!$B$16,0)</x:f>
        <x:v>350</x:v>
      </x:c>
      <x:c r="J6" t="n">
        <x:f>IF(C6&gt;0,Aannames!$B$9,0)</x:f>
        <x:v>0</x:v>
      </x:c>
      <x:c r="K6" t="n">
        <x:f>D6*(Aannames!$B$7+Aannames!$B$8)+E6*Aannames!$B$10+Aannames!$B$11+J6+Aannames!$B$14/3</x:f>
        <x:v>118</x:v>
      </x:c>
      <x:c r="L6" s="18" t="n">
        <x:f>H6-I6-K6*Aannames!$B$6</x:f>
        <x:v>-9200</x:v>
      </x:c>
      <x:c r="M6" s="18" t="n">
        <x:f>H6-I6</x:f>
        <x:v>-350</x:v>
      </x:c>
      <x:c r="N6" s="18" t="n">
        <x:f>L6+N5</x:f>
        <x:v>-29100</x:v>
      </x:c>
      <x:c r="O6" s="18" t="n">
        <x:f>M6+O5</x:f>
        <x:v>-2550</x:v>
      </x:c>
    </x:row>
    <x:row r="7">
      <x:c r="A7" t="str">
        <x:v>Voorzichtig</x:v>
      </x:c>
      <x:c r="B7" t="n">
        <x:v>4</x:v>
      </x:c>
      <x:c r="C7" t="n">
        <x:v>1</x:v>
      </x:c>
      <x:c r="D7" t="n">
        <x:v>1</x:v>
      </x:c>
      <x:c r="E7" t="n">
        <x:f>D7+E6</x:f>
        <x:v>1</x:v>
      </x:c>
      <x:c r="F7" s="18" t="n">
        <x:f>D7*Aannames!$B$4</x:f>
        <x:v>999</x:v>
      </x:c>
      <x:c r="G7" s="18" t="n">
        <x:f>E7*Aannames!$B$5</x:f>
        <x:v>249</x:v>
      </x:c>
      <x:c r="H7" s="18" t="n">
        <x:f>F7+G7</x:f>
        <x:v>1248</x:v>
      </x:c>
      <x:c r="I7" s="18" t="n">
        <x:f>E7*Aannames!$B$12+Aannames!$B$13+IF(C7&gt;0,Aannames!$B$16,0)</x:f>
        <x:v>373</x:v>
      </x:c>
      <x:c r="J7" t="n">
        <x:f>IF(C7&gt;0,Aannames!$B$9,0)</x:f>
        <x:v>70</x:v>
      </x:c>
      <x:c r="K7" t="n">
        <x:f>D7*(Aannames!$B$7+Aannames!$B$8)+E7*Aannames!$B$10+Aannames!$B$11+J7</x:f>
        <x:v>93</x:v>
      </x:c>
      <x:c r="L7" s="18" t="n">
        <x:f>H7-I7-K7*Aannames!$B$6</x:f>
        <x:v>-6100</x:v>
      </x:c>
      <x:c r="M7" s="18" t="n">
        <x:f>H7-I7</x:f>
        <x:v>875</x:v>
      </x:c>
      <x:c r="N7" s="18" t="n">
        <x:f>L7+N6</x:f>
        <x:v>-35200</x:v>
      </x:c>
      <x:c r="O7" s="18" t="n">
        <x:f>M7+O6</x:f>
        <x:v>-1675</x:v>
      </x:c>
    </x:row>
    <x:row r="8">
      <x:c r="A8" t="str">
        <x:v>Voorzichtig</x:v>
      </x:c>
      <x:c r="B8" t="n">
        <x:v>5</x:v>
      </x:c>
      <x:c r="C8" t="n">
        <x:v>2</x:v>
      </x:c>
      <x:c r="D8" t="n">
        <x:v>2</x:v>
      </x:c>
      <x:c r="E8" t="n">
        <x:f>D8+E7</x:f>
        <x:v>3</x:v>
      </x:c>
      <x:c r="F8" s="18" t="n">
        <x:f>D8*Aannames!$B$4</x:f>
        <x:v>1998</x:v>
      </x:c>
      <x:c r="G8" s="18" t="n">
        <x:f>E8*Aannames!$B$5</x:f>
        <x:v>747</x:v>
      </x:c>
      <x:c r="H8" s="18" t="n">
        <x:f>F8+G8</x:f>
        <x:v>2745</x:v>
      </x:c>
      <x:c r="I8" s="18" t="n">
        <x:f>E8*Aannames!$B$12+Aannames!$B$13+IF(C8&gt;0,Aannames!$B$16,0)</x:f>
        <x:v>419</x:v>
      </x:c>
      <x:c r="J8" t="n">
        <x:f>IF(C8&gt;0,Aannames!$B$9,0)</x:f>
        <x:v>70</x:v>
      </x:c>
      <x:c r="K8" t="n">
        <x:f>D8*(Aannames!$B$7+Aannames!$B$8)+E8*Aannames!$B$10+Aannames!$B$11+J8</x:f>
        <x:v>98.5</x:v>
      </x:c>
      <x:c r="L8" s="18" t="n">
        <x:f>H8-I8-K8*Aannames!$B$6</x:f>
        <x:v>-5061.5</x:v>
      </x:c>
      <x:c r="M8" s="18" t="n">
        <x:f>H8-I8</x:f>
        <x:v>2326</x:v>
      </x:c>
      <x:c r="N8" s="18" t="n">
        <x:f>L8+N7</x:f>
        <x:v>-40261.5</x:v>
      </x:c>
      <x:c r="O8" s="18" t="n">
        <x:f>M8+O7</x:f>
        <x:v>651</x:v>
      </x:c>
    </x:row>
    <x:row r="9">
      <x:c r="A9" t="str">
        <x:v>Voorzichtig</x:v>
      </x:c>
      <x:c r="B9" t="n">
        <x:v>6</x:v>
      </x:c>
      <x:c r="C9" t="n">
        <x:v>3</x:v>
      </x:c>
      <x:c r="D9" t="n">
        <x:v>1</x:v>
      </x:c>
      <x:c r="E9" t="n">
        <x:f>D9+E8</x:f>
        <x:v>4</x:v>
      </x:c>
      <x:c r="F9" s="18" t="n">
        <x:f>D9*Aannames!$B$4</x:f>
        <x:v>999</x:v>
      </x:c>
      <x:c r="G9" s="18" t="n">
        <x:f>E9*Aannames!$B$5</x:f>
        <x:v>996</x:v>
      </x:c>
      <x:c r="H9" s="18" t="n">
        <x:f>F9+G9</x:f>
        <x:v>1995</x:v>
      </x:c>
      <x:c r="I9" s="18" t="n">
        <x:f>E9*Aannames!$B$12+Aannames!$B$13+IF(C9&gt;0,Aannames!$B$16,0)</x:f>
        <x:v>442</x:v>
      </x:c>
      <x:c r="J9" t="n">
        <x:f>IF(C9&gt;0,Aannames!$B$9,0)</x:f>
        <x:v>70</x:v>
      </x:c>
      <x:c r="K9" t="n">
        <x:f>D9*(Aannames!$B$7+Aannames!$B$8)+E9*Aannames!$B$10+Aannames!$B$11+J9</x:f>
        <x:v>94.5</x:v>
      </x:c>
      <x:c r="L9" s="18" t="n">
        <x:f>H9-I9-K9*Aannames!$B$6</x:f>
        <x:v>-5534.5</x:v>
      </x:c>
      <x:c r="M9" s="18" t="n">
        <x:f>H9-I9</x:f>
        <x:v>1553</x:v>
      </x:c>
      <x:c r="N9" s="18" t="n">
        <x:f>L9+N8</x:f>
        <x:v>-45796</x:v>
      </x:c>
      <x:c r="O9" s="18" t="n">
        <x:f>M9+O8</x:f>
        <x:v>2204</x:v>
      </x:c>
    </x:row>
    <x:row r="10">
      <x:c r="A10" t="str">
        <x:v>Voorzichtig</x:v>
      </x:c>
      <x:c r="B10" t="n">
        <x:v>7</x:v>
      </x:c>
      <x:c r="C10" t="n">
        <x:v>4</x:v>
      </x:c>
      <x:c r="D10" t="n">
        <x:v>2</x:v>
      </x:c>
      <x:c r="E10" t="n">
        <x:f>D10+E9</x:f>
        <x:v>6</x:v>
      </x:c>
      <x:c r="F10" s="18" t="n">
        <x:f>D10*Aannames!$B$4</x:f>
        <x:v>1998</x:v>
      </x:c>
      <x:c r="G10" s="18" t="n">
        <x:f>E10*Aannames!$B$5</x:f>
        <x:v>1494</x:v>
      </x:c>
      <x:c r="H10" s="18" t="n">
        <x:f>F10+G10</x:f>
        <x:v>3492</x:v>
      </x:c>
      <x:c r="I10" s="18" t="n">
        <x:f>E10*Aannames!$B$12+Aannames!$B$13+IF(C10&gt;0,Aannames!$B$16,0)</x:f>
        <x:v>488</x:v>
      </x:c>
      <x:c r="J10" t="n">
        <x:f>IF(C10&gt;0,Aannames!$B$9,0)</x:f>
        <x:v>70</x:v>
      </x:c>
      <x:c r="K10" t="n">
        <x:f>D10*(Aannames!$B$7+Aannames!$B$8)+E10*Aannames!$B$10+Aannames!$B$11+J10</x:f>
        <x:v>100</x:v>
      </x:c>
      <x:c r="L10" s="18" t="n">
        <x:f>H10-I10-K10*Aannames!$B$6</x:f>
        <x:v>-4496</x:v>
      </x:c>
      <x:c r="M10" s="18" t="n">
        <x:f>H10-I10</x:f>
        <x:v>3004</x:v>
      </x:c>
      <x:c r="N10" s="18" t="n">
        <x:f>L10+N9</x:f>
        <x:v>-50292</x:v>
      </x:c>
      <x:c r="O10" s="18" t="n">
        <x:f>M10+O9</x:f>
        <x:v>5208</x:v>
      </x:c>
    </x:row>
    <x:row r="11">
      <x:c r="A11" t="str">
        <x:v>Voorzichtig</x:v>
      </x:c>
      <x:c r="B11" t="n">
        <x:v>8</x:v>
      </x:c>
      <x:c r="C11" t="n">
        <x:v>5</x:v>
      </x:c>
      <x:c r="D11" t="n">
        <x:v>1</x:v>
      </x:c>
      <x:c r="E11" t="n">
        <x:f>D11+E10</x:f>
        <x:v>7</x:v>
      </x:c>
      <x:c r="F11" s="18" t="n">
        <x:f>D11*Aannames!$B$4</x:f>
        <x:v>999</x:v>
      </x:c>
      <x:c r="G11" s="18" t="n">
        <x:f>E11*Aannames!$B$5</x:f>
        <x:v>1743</x:v>
      </x:c>
      <x:c r="H11" s="18" t="n">
        <x:f>F11+G11</x:f>
        <x:v>2742</x:v>
      </x:c>
      <x:c r="I11" s="18" t="n">
        <x:f>E11*Aannames!$B$12+Aannames!$B$13+IF(C11&gt;0,Aannames!$B$16,0)</x:f>
        <x:v>511</x:v>
      </x:c>
      <x:c r="J11" t="n">
        <x:f>IF(C11&gt;0,Aannames!$B$9,0)</x:f>
        <x:v>70</x:v>
      </x:c>
      <x:c r="K11" t="n">
        <x:f>D11*(Aannames!$B$7+Aannames!$B$8)+E11*Aannames!$B$10+Aannames!$B$11+J11</x:f>
        <x:v>96</x:v>
      </x:c>
      <x:c r="L11" s="18" t="n">
        <x:f>H11-I11-K11*Aannames!$B$6</x:f>
        <x:v>-4969</x:v>
      </x:c>
      <x:c r="M11" s="18" t="n">
        <x:f>H11-I11</x:f>
        <x:v>2231</x:v>
      </x:c>
      <x:c r="N11" s="18" t="n">
        <x:f>L11+N10</x:f>
        <x:v>-55261</x:v>
      </x:c>
      <x:c r="O11" s="18" t="n">
        <x:f>M11+O10</x:f>
        <x:v>7439</x:v>
      </x:c>
    </x:row>
    <x:row r="12">
      <x:c r="A12" t="str">
        <x:v>Voorzichtig</x:v>
      </x:c>
      <x:c r="B12" t="n">
        <x:v>9</x:v>
      </x:c>
      <x:c r="C12" t="n">
        <x:v>6</x:v>
      </x:c>
      <x:c r="D12" t="n">
        <x:v>2</x:v>
      </x:c>
      <x:c r="E12" t="n">
        <x:f>D12+E11</x:f>
        <x:v>9</x:v>
      </x:c>
      <x:c r="F12" s="18" t="n">
        <x:f>D12*Aannames!$B$4</x:f>
        <x:v>1998</x:v>
      </x:c>
      <x:c r="G12" s="18" t="n">
        <x:f>E12*Aannames!$B$5</x:f>
        <x:v>2241</x:v>
      </x:c>
      <x:c r="H12" s="18" t="n">
        <x:f>F12+G12</x:f>
        <x:v>4239</x:v>
      </x:c>
      <x:c r="I12" s="18" t="n">
        <x:f>E12*Aannames!$B$12+Aannames!$B$13+IF(C12&gt;0,Aannames!$B$16,0)</x:f>
        <x:v>557</x:v>
      </x:c>
      <x:c r="J12" t="n">
        <x:f>IF(C12&gt;0,Aannames!$B$9,0)</x:f>
        <x:v>70</x:v>
      </x:c>
      <x:c r="K12" t="n">
        <x:f>D12*(Aannames!$B$7+Aannames!$B$8)+E12*Aannames!$B$10+Aannames!$B$11+J12</x:f>
        <x:v>101.5</x:v>
      </x:c>
      <x:c r="L12" s="18" t="n">
        <x:f>H12-I12-K12*Aannames!$B$6</x:f>
        <x:v>-3930.5</x:v>
      </x:c>
      <x:c r="M12" s="18" t="n">
        <x:f>H12-I12</x:f>
        <x:v>3682</x:v>
      </x:c>
      <x:c r="N12" s="18" t="n">
        <x:f>L12+N11</x:f>
        <x:v>-59191.5</x:v>
      </x:c>
      <x:c r="O12" s="18" t="n">
        <x:f>M12+O11</x:f>
        <x:v>11121</x:v>
      </x:c>
    </x:row>
    <x:row r="13">
      <x:c r="A13" t="str">
        <x:v>Voorzichtig</x:v>
      </x:c>
      <x:c r="B13" t="n">
        <x:v>10</x:v>
      </x:c>
      <x:c r="C13" t="n">
        <x:v>7</x:v>
      </x:c>
      <x:c r="D13" t="n">
        <x:v>1</x:v>
      </x:c>
      <x:c r="E13" t="n">
        <x:f>D13+E12</x:f>
        <x:v>10</x:v>
      </x:c>
      <x:c r="F13" s="18" t="n">
        <x:f>D13*Aannames!$B$4</x:f>
        <x:v>999</x:v>
      </x:c>
      <x:c r="G13" s="18" t="n">
        <x:f>E13*Aannames!$B$5</x:f>
        <x:v>2490</x:v>
      </x:c>
      <x:c r="H13" s="18" t="n">
        <x:f>F13+G13</x:f>
        <x:v>3489</x:v>
      </x:c>
      <x:c r="I13" s="18" t="n">
        <x:f>E13*Aannames!$B$12+Aannames!$B$13+IF(C13&gt;0,Aannames!$B$16,0)</x:f>
        <x:v>580</x:v>
      </x:c>
      <x:c r="J13" t="n">
        <x:f>IF(C13&gt;0,Aannames!$B$9,0)</x:f>
        <x:v>70</x:v>
      </x:c>
      <x:c r="K13" t="n">
        <x:f>D13*(Aannames!$B$7+Aannames!$B$8)+E13*Aannames!$B$10+Aannames!$B$11+J13</x:f>
        <x:v>97.5</x:v>
      </x:c>
      <x:c r="L13" s="18" t="n">
        <x:f>H13-I13-K13*Aannames!$B$6</x:f>
        <x:v>-4403.5</x:v>
      </x:c>
      <x:c r="M13" s="18" t="n">
        <x:f>H13-I13</x:f>
        <x:v>2909</x:v>
      </x:c>
      <x:c r="N13" s="18" t="n">
        <x:f>L13+N12</x:f>
        <x:v>-63595</x:v>
      </x:c>
      <x:c r="O13" s="18" t="n">
        <x:f>M13+O12</x:f>
        <x:v>14030</x:v>
      </x:c>
    </x:row>
    <x:row r="14">
      <x:c r="A14" t="str">
        <x:v>Voorzichtig</x:v>
      </x:c>
      <x:c r="B14" t="n">
        <x:v>11</x:v>
      </x:c>
      <x:c r="C14" t="n">
        <x:v>8</x:v>
      </x:c>
      <x:c r="D14" t="n">
        <x:v>2</x:v>
      </x:c>
      <x:c r="E14" t="n">
        <x:f>D14+E13</x:f>
        <x:v>12</x:v>
      </x:c>
      <x:c r="F14" s="18" t="n">
        <x:f>D14*Aannames!$B$4</x:f>
        <x:v>1998</x:v>
      </x:c>
      <x:c r="G14" s="18" t="n">
        <x:f>E14*Aannames!$B$5</x:f>
        <x:v>2988</x:v>
      </x:c>
      <x:c r="H14" s="18" t="n">
        <x:f>F14+G14</x:f>
        <x:v>4986</x:v>
      </x:c>
      <x:c r="I14" s="18" t="n">
        <x:f>E14*Aannames!$B$12+Aannames!$B$13+IF(C14&gt;0,Aannames!$B$16,0)</x:f>
        <x:v>626</x:v>
      </x:c>
      <x:c r="J14" t="n">
        <x:f>IF(C14&gt;0,Aannames!$B$9,0)</x:f>
        <x:v>70</x:v>
      </x:c>
      <x:c r="K14" t="n">
        <x:f>D14*(Aannames!$B$7+Aannames!$B$8)+E14*Aannames!$B$10+Aannames!$B$11+J14</x:f>
        <x:v>103</x:v>
      </x:c>
      <x:c r="L14" s="18" t="n">
        <x:f>H14-I14-K14*Aannames!$B$6</x:f>
        <x:v>-3365</x:v>
      </x:c>
      <x:c r="M14" s="18" t="n">
        <x:f>H14-I14</x:f>
        <x:v>4360</x:v>
      </x:c>
      <x:c r="N14" s="18" t="n">
        <x:f>L14+N13</x:f>
        <x:v>-66960</x:v>
      </x:c>
      <x:c r="O14" s="18" t="n">
        <x:f>M14+O13</x:f>
        <x:v>18390</x:v>
      </x:c>
    </x:row>
    <x:row r="15">
      <x:c r="A15" t="str">
        <x:v>Voorzichtig</x:v>
      </x:c>
      <x:c r="B15" t="n">
        <x:v>12</x:v>
      </x:c>
      <x:c r="C15" t="n">
        <x:v>9</x:v>
      </x:c>
      <x:c r="D15" t="n">
        <x:v>1</x:v>
      </x:c>
      <x:c r="E15" t="n">
        <x:f>D15+E14</x:f>
        <x:v>13</x:v>
      </x:c>
      <x:c r="F15" s="18" t="n">
        <x:f>D15*Aannames!$B$4</x:f>
        <x:v>999</x:v>
      </x:c>
      <x:c r="G15" s="18" t="n">
        <x:f>E15*Aannames!$B$5</x:f>
        <x:v>3237</x:v>
      </x:c>
      <x:c r="H15" s="18" t="n">
        <x:f>F15+G15</x:f>
        <x:v>4236</x:v>
      </x:c>
      <x:c r="I15" s="18" t="n">
        <x:f>E15*Aannames!$B$12+Aannames!$B$13+IF(C15&gt;0,Aannames!$B$16,0)</x:f>
        <x:v>649</x:v>
      </x:c>
      <x:c r="J15" t="n">
        <x:f>IF(C15&gt;0,Aannames!$B$9,0)</x:f>
        <x:v>70</x:v>
      </x:c>
      <x:c r="K15" t="n">
        <x:f>D15*(Aannames!$B$7+Aannames!$B$8)+E15*Aannames!$B$10+Aannames!$B$11+J15</x:f>
        <x:v>99</x:v>
      </x:c>
      <x:c r="L15" s="18" t="n">
        <x:f>H15-I15-K15*Aannames!$B$6</x:f>
        <x:v>-3838</x:v>
      </x:c>
      <x:c r="M15" s="18" t="n">
        <x:f>H15-I15</x:f>
        <x:v>3587</x:v>
      </x:c>
      <x:c r="N15" s="18" t="n">
        <x:f>L15+N14</x:f>
        <x:v>-70798</x:v>
      </x:c>
      <x:c r="O15" s="18" t="n">
        <x:f>M15+O14</x:f>
        <x:v>21977</x:v>
      </x:c>
    </x:row>
    <x:row r="16">
      <x:c r="A16" t="str">
        <x:v>Voorzichtig</x:v>
      </x:c>
      <x:c r="B16" t="n">
        <x:v>13</x:v>
      </x:c>
      <x:c r="C16" t="n">
        <x:v>10</x:v>
      </x:c>
      <x:c r="D16" t="n">
        <x:v>2</x:v>
      </x:c>
      <x:c r="E16" t="n">
        <x:f>D16+E15</x:f>
        <x:v>15</x:v>
      </x:c>
      <x:c r="F16" s="18" t="n">
        <x:f>D16*Aannames!$B$4</x:f>
        <x:v>1998</x:v>
      </x:c>
      <x:c r="G16" s="18" t="n">
        <x:f>E16*Aannames!$B$5</x:f>
        <x:v>3735</x:v>
      </x:c>
      <x:c r="H16" s="18" t="n">
        <x:f>F16+G16</x:f>
        <x:v>5733</x:v>
      </x:c>
      <x:c r="I16" s="18" t="n">
        <x:f>E16*Aannames!$B$12+Aannames!$B$13+IF(C16&gt;0,Aannames!$B$16,0)</x:f>
        <x:v>695</x:v>
      </x:c>
      <x:c r="J16" t="n">
        <x:f>IF(C16&gt;0,Aannames!$B$9,0)</x:f>
        <x:v>70</x:v>
      </x:c>
      <x:c r="K16" t="n">
        <x:f>D16*(Aannames!$B$7+Aannames!$B$8)+E16*Aannames!$B$10+Aannames!$B$11+J16</x:f>
        <x:v>104.5</x:v>
      </x:c>
      <x:c r="L16" s="18" t="n">
        <x:f>H16-I16-K16*Aannames!$B$6</x:f>
        <x:v>-2799.5</x:v>
      </x:c>
      <x:c r="M16" s="18" t="n">
        <x:f>H16-I16</x:f>
        <x:v>5038</x:v>
      </x:c>
      <x:c r="N16" s="18" t="n">
        <x:f>L16+N15</x:f>
        <x:v>-73597.5</x:v>
      </x:c>
      <x:c r="O16" s="18" t="n">
        <x:f>M16+O15</x:f>
        <x:v>27015</x:v>
      </x:c>
    </x:row>
    <x:row r="17">
      <x:c r="A17" t="str">
        <x:v>Voorzichtig</x:v>
      </x:c>
      <x:c r="B17" t="n">
        <x:v>14</x:v>
      </x:c>
      <x:c r="C17" t="n">
        <x:v>11</x:v>
      </x:c>
      <x:c r="D17" t="n">
        <x:v>1</x:v>
      </x:c>
      <x:c r="E17" t="n">
        <x:f>D17+E16</x:f>
        <x:v>16</x:v>
      </x:c>
      <x:c r="F17" s="18" t="n">
        <x:f>D17*Aannames!$B$4</x:f>
        <x:v>999</x:v>
      </x:c>
      <x:c r="G17" s="18" t="n">
        <x:f>E17*Aannames!$B$5</x:f>
        <x:v>3984</x:v>
      </x:c>
      <x:c r="H17" s="18" t="n">
        <x:f>F17+G17</x:f>
        <x:v>4983</x:v>
      </x:c>
      <x:c r="I17" s="18" t="n">
        <x:f>E17*Aannames!$B$12+Aannames!$B$13+IF(C17&gt;0,Aannames!$B$16,0)</x:f>
        <x:v>718</x:v>
      </x:c>
      <x:c r="J17" t="n">
        <x:f>IF(C17&gt;0,Aannames!$B$9,0)</x:f>
        <x:v>70</x:v>
      </x:c>
      <x:c r="K17" t="n">
        <x:f>D17*(Aannames!$B$7+Aannames!$B$8)+E17*Aannames!$B$10+Aannames!$B$11+J17</x:f>
        <x:v>100.5</x:v>
      </x:c>
      <x:c r="L17" s="18" t="n">
        <x:f>H17-I17-K17*Aannames!$B$6</x:f>
        <x:v>-3272.5</x:v>
      </x:c>
      <x:c r="M17" s="18" t="n">
        <x:f>H17-I17</x:f>
        <x:v>4265</x:v>
      </x:c>
      <x:c r="N17" s="18" t="n">
        <x:f>L17+N16</x:f>
        <x:v>-76870</x:v>
      </x:c>
      <x:c r="O17" s="18" t="n">
        <x:f>M17+O16</x:f>
        <x:v>31280</x:v>
      </x:c>
    </x:row>
    <x:row r="18">
      <x:c r="A18" t="str">
        <x:v>Voorzichtig</x:v>
      </x:c>
      <x:c r="B18" t="n">
        <x:v>15</x:v>
      </x:c>
      <x:c r="C18" t="n">
        <x:v>12</x:v>
      </x:c>
      <x:c r="D18" t="n">
        <x:v>2</x:v>
      </x:c>
      <x:c r="E18" t="n">
        <x:f>D18+E17</x:f>
        <x:v>18</x:v>
      </x:c>
      <x:c r="F18" s="18" t="n">
        <x:f>D18*Aannames!$B$4</x:f>
        <x:v>1998</x:v>
      </x:c>
      <x:c r="G18" s="18" t="n">
        <x:f>E18*Aannames!$B$5</x:f>
        <x:v>4482</x:v>
      </x:c>
      <x:c r="H18" s="18" t="n">
        <x:f>F18+G18</x:f>
        <x:v>6480</x:v>
      </x:c>
      <x:c r="I18" s="18" t="n">
        <x:f>E18*Aannames!$B$12+Aannames!$B$13+IF(C18&gt;0,Aannames!$B$16,0)</x:f>
        <x:v>764</x:v>
      </x:c>
      <x:c r="J18" t="n">
        <x:f>IF(C18&gt;0,Aannames!$B$9,0)</x:f>
        <x:v>70</x:v>
      </x:c>
      <x:c r="K18" t="n">
        <x:f>D18*(Aannames!$B$7+Aannames!$B$8)+E18*Aannames!$B$10+Aannames!$B$11+J18</x:f>
        <x:v>106</x:v>
      </x:c>
      <x:c r="L18" s="18" t="n">
        <x:f>H18-I18-K18*Aannames!$B$6</x:f>
        <x:v>-2234</x:v>
      </x:c>
      <x:c r="M18" s="18" t="n">
        <x:f>H18-I18</x:f>
        <x:v>5716</x:v>
      </x:c>
      <x:c r="N18" s="18" t="n">
        <x:f>L18+N17</x:f>
        <x:v>-79104</x:v>
      </x:c>
      <x:c r="O18" s="18" t="n">
        <x:f>M18+O17</x:f>
        <x:v>36996</x:v>
      </x:c>
    </x:row>
    <x:row r="19">
      <x:c r="A19" t="str">
        <x:v>Basis</x:v>
      </x:c>
      <x:c r="B19" t="n">
        <x:v>1</x:v>
      </x:c>
      <x:c r="C19" t="n">
        <x:v>0</x:v>
      </x:c>
      <x:c r="D19" t="n">
        <x:v>0</x:v>
      </x:c>
      <x:c r="E19" t="n">
        <x:f>D19</x:f>
        <x:v>0</x:v>
      </x:c>
      <x:c r="F19" s="18" t="n">
        <x:f>D19*Aannames!$B$4</x:f>
        <x:v>0</x:v>
      </x:c>
      <x:c r="G19" s="18" t="n">
        <x:f>E19*Aannames!$B$5</x:f>
        <x:v>0</x:v>
      </x:c>
      <x:c r="H19" s="18" t="n">
        <x:f>F19+G19</x:f>
        <x:v>0</x:v>
      </x:c>
      <x:c r="I19" s="18" t="n">
        <x:f>E19*Aannames!$B$12+Aannames!$B$13+Aannames!$B$15+IF(C19&gt;0,Aannames!$B$16,0)</x:f>
        <x:v>1850</x:v>
      </x:c>
      <x:c r="J19" t="n">
        <x:f>IF(C19&gt;0,Aannames!$B$9,0)</x:f>
        <x:v>0</x:v>
      </x:c>
      <x:c r="K19" t="n">
        <x:f>D19*(Aannames!$B$7+Aannames!$B$8)+E19*Aannames!$B$10+Aannames!$B$11+J19+Aannames!$B$14/3</x:f>
        <x:v>118</x:v>
      </x:c>
      <x:c r="L19" s="18" t="n">
        <x:f>H19-I19-K19*Aannames!$B$6</x:f>
        <x:v>-10700</x:v>
      </x:c>
      <x:c r="M19" s="18" t="n">
        <x:f>H19-I19</x:f>
        <x:v>-1850</x:v>
      </x:c>
      <x:c r="N19" s="18" t="n">
        <x:f>L19</x:f>
        <x:v>-10700</x:v>
      </x:c>
      <x:c r="O19" s="18" t="n">
        <x:f>M19</x:f>
        <x:v>-1850</x:v>
      </x:c>
    </x:row>
    <x:row r="20">
      <x:c r="A20" t="str">
        <x:v>Basis</x:v>
      </x:c>
      <x:c r="B20" t="n">
        <x:v>2</x:v>
      </x:c>
      <x:c r="C20" t="n">
        <x:v>0</x:v>
      </x:c>
      <x:c r="D20" t="n">
        <x:v>0</x:v>
      </x:c>
      <x:c r="E20" t="n">
        <x:f>D20+E19</x:f>
        <x:v>0</x:v>
      </x:c>
      <x:c r="F20" s="18" t="n">
        <x:f>D20*Aannames!$B$4</x:f>
        <x:v>0</x:v>
      </x:c>
      <x:c r="G20" s="18" t="n">
        <x:f>E20*Aannames!$B$5</x:f>
        <x:v>0</x:v>
      </x:c>
      <x:c r="H20" s="18" t="n">
        <x:f>F20+G20</x:f>
        <x:v>0</x:v>
      </x:c>
      <x:c r="I20" s="18" t="n">
        <x:f>E20*Aannames!$B$12+Aannames!$B$13+IF(C20&gt;0,Aannames!$B$16,0)</x:f>
        <x:v>350</x:v>
      </x:c>
      <x:c r="J20" t="n">
        <x:f>IF(C20&gt;0,Aannames!$B$9,0)</x:f>
        <x:v>0</x:v>
      </x:c>
      <x:c r="K20" t="n">
        <x:f>D20*(Aannames!$B$7+Aannames!$B$8)+E20*Aannames!$B$10+Aannames!$B$11+J20+Aannames!$B$14/3</x:f>
        <x:v>118</x:v>
      </x:c>
      <x:c r="L20" s="18" t="n">
        <x:f>H20-I20-K20*Aannames!$B$6</x:f>
        <x:v>-9200</x:v>
      </x:c>
      <x:c r="M20" s="18" t="n">
        <x:f>H20-I20</x:f>
        <x:v>-350</x:v>
      </x:c>
      <x:c r="N20" s="18" t="n">
        <x:f>L20+N19</x:f>
        <x:v>-19900</x:v>
      </x:c>
      <x:c r="O20" s="18" t="n">
        <x:f>M20+O19</x:f>
        <x:v>-2200</x:v>
      </x:c>
    </x:row>
    <x:row r="21">
      <x:c r="A21" t="str">
        <x:v>Basis</x:v>
      </x:c>
      <x:c r="B21" t="n">
        <x:v>3</x:v>
      </x:c>
      <x:c r="C21" t="n">
        <x:v>0</x:v>
      </x:c>
      <x:c r="D21" t="n">
        <x:v>0</x:v>
      </x:c>
      <x:c r="E21" t="n">
        <x:f>D21+E20</x:f>
        <x:v>0</x:v>
      </x:c>
      <x:c r="F21" s="18" t="n">
        <x:f>D21*Aannames!$B$4</x:f>
        <x:v>0</x:v>
      </x:c>
      <x:c r="G21" s="18" t="n">
        <x:f>E21*Aannames!$B$5</x:f>
        <x:v>0</x:v>
      </x:c>
      <x:c r="H21" s="18" t="n">
        <x:f>F21+G21</x:f>
        <x:v>0</x:v>
      </x:c>
      <x:c r="I21" s="18" t="n">
        <x:f>E21*Aannames!$B$12+Aannames!$B$13+IF(C21&gt;0,Aannames!$B$16,0)</x:f>
        <x:v>350</x:v>
      </x:c>
      <x:c r="J21" t="n">
        <x:f>IF(C21&gt;0,Aannames!$B$9,0)</x:f>
        <x:v>0</x:v>
      </x:c>
      <x:c r="K21" t="n">
        <x:f>D21*(Aannames!$B$7+Aannames!$B$8)+E21*Aannames!$B$10+Aannames!$B$11+J21+Aannames!$B$14/3</x:f>
        <x:v>118</x:v>
      </x:c>
      <x:c r="L21" s="18" t="n">
        <x:f>H21-I21-K21*Aannames!$B$6</x:f>
        <x:v>-9200</x:v>
      </x:c>
      <x:c r="M21" s="18" t="n">
        <x:f>H21-I21</x:f>
        <x:v>-350</x:v>
      </x:c>
      <x:c r="N21" s="18" t="n">
        <x:f>L21+N20</x:f>
        <x:v>-29100</x:v>
      </x:c>
      <x:c r="O21" s="18" t="n">
        <x:f>M21+O20</x:f>
        <x:v>-2550</x:v>
      </x:c>
    </x:row>
    <x:row r="22">
      <x:c r="A22" t="str">
        <x:v>Basis</x:v>
      </x:c>
      <x:c r="B22" t="n">
        <x:v>4</x:v>
      </x:c>
      <x:c r="C22" t="n">
        <x:v>1</x:v>
      </x:c>
      <x:c r="D22" t="n">
        <x:v>3</x:v>
      </x:c>
      <x:c r="E22" t="n">
        <x:f>D22+E21</x:f>
        <x:v>3</x:v>
      </x:c>
      <x:c r="F22" s="18" t="n">
        <x:f>D22*Aannames!$B$4</x:f>
        <x:v>2997</x:v>
      </x:c>
      <x:c r="G22" s="18" t="n">
        <x:f>E22*Aannames!$B$5</x:f>
        <x:v>747</x:v>
      </x:c>
      <x:c r="H22" s="18" t="n">
        <x:f>F22+G22</x:f>
        <x:v>3744</x:v>
      </x:c>
      <x:c r="I22" s="18" t="n">
        <x:f>E22*Aannames!$B$12+Aannames!$B$13+IF(C22&gt;0,Aannames!$B$16,0)</x:f>
        <x:v>419</x:v>
      </x:c>
      <x:c r="J22" t="n">
        <x:f>IF(C22&gt;0,Aannames!$B$9,0)</x:f>
        <x:v>70</x:v>
      </x:c>
      <x:c r="K22" t="n">
        <x:f>D22*(Aannames!$B$7+Aannames!$B$8)+E22*Aannames!$B$10+Aannames!$B$11+J22</x:f>
        <x:v>103</x:v>
      </x:c>
      <x:c r="L22" s="18" t="n">
        <x:f>H22-I22-K22*Aannames!$B$6</x:f>
        <x:v>-4400</x:v>
      </x:c>
      <x:c r="M22" s="18" t="n">
        <x:f>H22-I22</x:f>
        <x:v>3325</x:v>
      </x:c>
      <x:c r="N22" s="18" t="n">
        <x:f>L22+N21</x:f>
        <x:v>-33500</x:v>
      </x:c>
      <x:c r="O22" s="18" t="n">
        <x:f>M22+O21</x:f>
        <x:v>775</x:v>
      </x:c>
    </x:row>
    <x:row r="23">
      <x:c r="A23" t="str">
        <x:v>Basis</x:v>
      </x:c>
      <x:c r="B23" t="n">
        <x:v>5</x:v>
      </x:c>
      <x:c r="C23" t="n">
        <x:v>2</x:v>
      </x:c>
      <x:c r="D23" t="n">
        <x:v>3</x:v>
      </x:c>
      <x:c r="E23" t="n">
        <x:f>D23+E22</x:f>
        <x:v>6</x:v>
      </x:c>
      <x:c r="F23" s="18" t="n">
        <x:f>D23*Aannames!$B$4</x:f>
        <x:v>2997</x:v>
      </x:c>
      <x:c r="G23" s="18" t="n">
        <x:f>E23*Aannames!$B$5</x:f>
        <x:v>1494</x:v>
      </x:c>
      <x:c r="H23" s="18" t="n">
        <x:f>F23+G23</x:f>
        <x:v>4491</x:v>
      </x:c>
      <x:c r="I23" s="18" t="n">
        <x:f>E23*Aannames!$B$12+Aannames!$B$13+IF(C23&gt;0,Aannames!$B$16,0)</x:f>
        <x:v>488</x:v>
      </x:c>
      <x:c r="J23" t="n">
        <x:f>IF(C23&gt;0,Aannames!$B$9,0)</x:f>
        <x:v>70</x:v>
      </x:c>
      <x:c r="K23" t="n">
        <x:f>D23*(Aannames!$B$7+Aannames!$B$8)+E23*Aannames!$B$10+Aannames!$B$11+J23</x:f>
        <x:v>104.5</x:v>
      </x:c>
      <x:c r="L23" s="18" t="n">
        <x:f>H23-I23-K23*Aannames!$B$6</x:f>
        <x:v>-3834.5</x:v>
      </x:c>
      <x:c r="M23" s="18" t="n">
        <x:f>H23-I23</x:f>
        <x:v>4003</x:v>
      </x:c>
      <x:c r="N23" s="18" t="n">
        <x:f>L23+N22</x:f>
        <x:v>-37334.5</x:v>
      </x:c>
      <x:c r="O23" s="18" t="n">
        <x:f>M23+O22</x:f>
        <x:v>4778</x:v>
      </x:c>
    </x:row>
    <x:row r="24">
      <x:c r="A24" t="str">
        <x:v>Basis</x:v>
      </x:c>
      <x:c r="B24" t="n">
        <x:v>6</x:v>
      </x:c>
      <x:c r="C24" t="n">
        <x:v>3</x:v>
      </x:c>
      <x:c r="D24" t="n">
        <x:v>3</x:v>
      </x:c>
      <x:c r="E24" t="n">
        <x:f>D24+E23</x:f>
        <x:v>9</x:v>
      </x:c>
      <x:c r="F24" s="18" t="n">
        <x:f>D24*Aannames!$B$4</x:f>
        <x:v>2997</x:v>
      </x:c>
      <x:c r="G24" s="18" t="n">
        <x:f>E24*Aannames!$B$5</x:f>
        <x:v>2241</x:v>
      </x:c>
      <x:c r="H24" s="18" t="n">
        <x:f>F24+G24</x:f>
        <x:v>5238</x:v>
      </x:c>
      <x:c r="I24" s="18" t="n">
        <x:f>E24*Aannames!$B$12+Aannames!$B$13+IF(C24&gt;0,Aannames!$B$16,0)</x:f>
        <x:v>557</x:v>
      </x:c>
      <x:c r="J24" t="n">
        <x:f>IF(C24&gt;0,Aannames!$B$9,0)</x:f>
        <x:v>70</x:v>
      </x:c>
      <x:c r="K24" t="n">
        <x:f>D24*(Aannames!$B$7+Aannames!$B$8)+E24*Aannames!$B$10+Aannames!$B$11+J24</x:f>
        <x:v>106</x:v>
      </x:c>
      <x:c r="L24" s="18" t="n">
        <x:f>H24-I24-K24*Aannames!$B$6</x:f>
        <x:v>-3269</x:v>
      </x:c>
      <x:c r="M24" s="18" t="n">
        <x:f>H24-I24</x:f>
        <x:v>4681</x:v>
      </x:c>
      <x:c r="N24" s="18" t="n">
        <x:f>L24+N23</x:f>
        <x:v>-40603.5</x:v>
      </x:c>
      <x:c r="O24" s="18" t="n">
        <x:f>M24+O23</x:f>
        <x:v>9459</x:v>
      </x:c>
    </x:row>
    <x:row r="25">
      <x:c r="A25" t="str">
        <x:v>Basis</x:v>
      </x:c>
      <x:c r="B25" t="n">
        <x:v>7</x:v>
      </x:c>
      <x:c r="C25" t="n">
        <x:v>4</x:v>
      </x:c>
      <x:c r="D25" t="n">
        <x:v>3</x:v>
      </x:c>
      <x:c r="E25" t="n">
        <x:f>D25+E24</x:f>
        <x:v>12</x:v>
      </x:c>
      <x:c r="F25" s="18" t="n">
        <x:f>D25*Aannames!$B$4</x:f>
        <x:v>2997</x:v>
      </x:c>
      <x:c r="G25" s="18" t="n">
        <x:f>E25*Aannames!$B$5</x:f>
        <x:v>2988</x:v>
      </x:c>
      <x:c r="H25" s="18" t="n">
        <x:f>F25+G25</x:f>
        <x:v>5985</x:v>
      </x:c>
      <x:c r="I25" s="18" t="n">
        <x:f>E25*Aannames!$B$12+Aannames!$B$13+IF(C25&gt;0,Aannames!$B$16,0)</x:f>
        <x:v>626</x:v>
      </x:c>
      <x:c r="J25" t="n">
        <x:f>IF(C25&gt;0,Aannames!$B$9,0)</x:f>
        <x:v>70</x:v>
      </x:c>
      <x:c r="K25" t="n">
        <x:f>D25*(Aannames!$B$7+Aannames!$B$8)+E25*Aannames!$B$10+Aannames!$B$11+J25</x:f>
        <x:v>107.5</x:v>
      </x:c>
      <x:c r="L25" s="18" t="n">
        <x:f>H25-I25-K25*Aannames!$B$6</x:f>
        <x:v>-2703.5</x:v>
      </x:c>
      <x:c r="M25" s="18" t="n">
        <x:f>H25-I25</x:f>
        <x:v>5359</x:v>
      </x:c>
      <x:c r="N25" s="18" t="n">
        <x:f>L25+N24</x:f>
        <x:v>-43307</x:v>
      </x:c>
      <x:c r="O25" s="18" t="n">
        <x:f>M25+O24</x:f>
        <x:v>14818</x:v>
      </x:c>
    </x:row>
    <x:row r="26">
      <x:c r="A26" t="str">
        <x:v>Basis</x:v>
      </x:c>
      <x:c r="B26" t="n">
        <x:v>8</x:v>
      </x:c>
      <x:c r="C26" t="n">
        <x:v>5</x:v>
      </x:c>
      <x:c r="D26" t="n">
        <x:v>3</x:v>
      </x:c>
      <x:c r="E26" t="n">
        <x:f>D26+E25</x:f>
        <x:v>15</x:v>
      </x:c>
      <x:c r="F26" s="18" t="n">
        <x:f>D26*Aannames!$B$4</x:f>
        <x:v>2997</x:v>
      </x:c>
      <x:c r="G26" s="18" t="n">
        <x:f>E26*Aannames!$B$5</x:f>
        <x:v>3735</x:v>
      </x:c>
      <x:c r="H26" s="18" t="n">
        <x:f>F26+G26</x:f>
        <x:v>6732</x:v>
      </x:c>
      <x:c r="I26" s="18" t="n">
        <x:f>E26*Aannames!$B$12+Aannames!$B$13+IF(C26&gt;0,Aannames!$B$16,0)</x:f>
        <x:v>695</x:v>
      </x:c>
      <x:c r="J26" t="n">
        <x:f>IF(C26&gt;0,Aannames!$B$9,0)</x:f>
        <x:v>70</x:v>
      </x:c>
      <x:c r="K26" t="n">
        <x:f>D26*(Aannames!$B$7+Aannames!$B$8)+E26*Aannames!$B$10+Aannames!$B$11+J26</x:f>
        <x:v>109</x:v>
      </x:c>
      <x:c r="L26" s="18" t="n">
        <x:f>H26-I26-K26*Aannames!$B$6</x:f>
        <x:v>-2138</x:v>
      </x:c>
      <x:c r="M26" s="18" t="n">
        <x:f>H26-I26</x:f>
        <x:v>6037</x:v>
      </x:c>
      <x:c r="N26" s="18" t="n">
        <x:f>L26+N25</x:f>
        <x:v>-45445</x:v>
      </x:c>
      <x:c r="O26" s="18" t="n">
        <x:f>M26+O25</x:f>
        <x:v>20855</x:v>
      </x:c>
    </x:row>
    <x:row r="27">
      <x:c r="A27" t="str">
        <x:v>Basis</x:v>
      </x:c>
      <x:c r="B27" t="n">
        <x:v>9</x:v>
      </x:c>
      <x:c r="C27" t="n">
        <x:v>6</x:v>
      </x:c>
      <x:c r="D27" t="n">
        <x:v>3</x:v>
      </x:c>
      <x:c r="E27" t="n">
        <x:f>D27+E26</x:f>
        <x:v>18</x:v>
      </x:c>
      <x:c r="F27" s="18" t="n">
        <x:f>D27*Aannames!$B$4</x:f>
        <x:v>2997</x:v>
      </x:c>
      <x:c r="G27" s="18" t="n">
        <x:f>E27*Aannames!$B$5</x:f>
        <x:v>4482</x:v>
      </x:c>
      <x:c r="H27" s="18" t="n">
        <x:f>F27+G27</x:f>
        <x:v>7479</x:v>
      </x:c>
      <x:c r="I27" s="18" t="n">
        <x:f>E27*Aannames!$B$12+Aannames!$B$13+IF(C27&gt;0,Aannames!$B$16,0)</x:f>
        <x:v>764</x:v>
      </x:c>
      <x:c r="J27" t="n">
        <x:f>IF(C27&gt;0,Aannames!$B$9,0)</x:f>
        <x:v>70</x:v>
      </x:c>
      <x:c r="K27" t="n">
        <x:f>D27*(Aannames!$B$7+Aannames!$B$8)+E27*Aannames!$B$10+Aannames!$B$11+J27</x:f>
        <x:v>110.5</x:v>
      </x:c>
      <x:c r="L27" s="18" t="n">
        <x:f>H27-I27-K27*Aannames!$B$6</x:f>
        <x:v>-1572.5</x:v>
      </x:c>
      <x:c r="M27" s="18" t="n">
        <x:f>H27-I27</x:f>
        <x:v>6715</x:v>
      </x:c>
      <x:c r="N27" s="18" t="n">
        <x:f>L27+N26</x:f>
        <x:v>-47017.5</x:v>
      </x:c>
      <x:c r="O27" s="18" t="n">
        <x:f>M27+O26</x:f>
        <x:v>27570</x:v>
      </x:c>
    </x:row>
    <x:row r="28">
      <x:c r="A28" t="str">
        <x:v>Basis</x:v>
      </x:c>
      <x:c r="B28" t="n">
        <x:v>10</x:v>
      </x:c>
      <x:c r="C28" t="n">
        <x:v>7</x:v>
      </x:c>
      <x:c r="D28" t="n">
        <x:v>3</x:v>
      </x:c>
      <x:c r="E28" t="n">
        <x:f>D28+E27</x:f>
        <x:v>21</x:v>
      </x:c>
      <x:c r="F28" s="18" t="n">
        <x:f>D28*Aannames!$B$4</x:f>
        <x:v>2997</x:v>
      </x:c>
      <x:c r="G28" s="18" t="n">
        <x:f>E28*Aannames!$B$5</x:f>
        <x:v>5229</x:v>
      </x:c>
      <x:c r="H28" s="18" t="n">
        <x:f>F28+G28</x:f>
        <x:v>8226</x:v>
      </x:c>
      <x:c r="I28" s="18" t="n">
        <x:f>E28*Aannames!$B$12+Aannames!$B$13+IF(C28&gt;0,Aannames!$B$16,0)</x:f>
        <x:v>833</x:v>
      </x:c>
      <x:c r="J28" t="n">
        <x:f>IF(C28&gt;0,Aannames!$B$9,0)</x:f>
        <x:v>70</x:v>
      </x:c>
      <x:c r="K28" t="n">
        <x:f>D28*(Aannames!$B$7+Aannames!$B$8)+E28*Aannames!$B$10+Aannames!$B$11+J28</x:f>
        <x:v>112</x:v>
      </x:c>
      <x:c r="L28" s="18" t="n">
        <x:f>H28-I28-K28*Aannames!$B$6</x:f>
        <x:v>-1007</x:v>
      </x:c>
      <x:c r="M28" s="18" t="n">
        <x:f>H28-I28</x:f>
        <x:v>7393</x:v>
      </x:c>
      <x:c r="N28" s="18" t="n">
        <x:f>L28+N27</x:f>
        <x:v>-48024.5</x:v>
      </x:c>
      <x:c r="O28" s="18" t="n">
        <x:f>M28+O27</x:f>
        <x:v>34963</x:v>
      </x:c>
    </x:row>
    <x:row r="29">
      <x:c r="A29" t="str">
        <x:v>Basis</x:v>
      </x:c>
      <x:c r="B29" t="n">
        <x:v>11</x:v>
      </x:c>
      <x:c r="C29" t="n">
        <x:v>8</x:v>
      </x:c>
      <x:c r="D29" t="n">
        <x:v>3</x:v>
      </x:c>
      <x:c r="E29" t="n">
        <x:f>D29+E28</x:f>
        <x:v>24</x:v>
      </x:c>
      <x:c r="F29" s="18" t="n">
        <x:f>D29*Aannames!$B$4</x:f>
        <x:v>2997</x:v>
      </x:c>
      <x:c r="G29" s="18" t="n">
        <x:f>E29*Aannames!$B$5</x:f>
        <x:v>5976</x:v>
      </x:c>
      <x:c r="H29" s="18" t="n">
        <x:f>F29+G29</x:f>
        <x:v>8973</x:v>
      </x:c>
      <x:c r="I29" s="18" t="n">
        <x:f>E29*Aannames!$B$12+Aannames!$B$13+IF(C29&gt;0,Aannames!$B$16,0)</x:f>
        <x:v>902</x:v>
      </x:c>
      <x:c r="J29" t="n">
        <x:f>IF(C29&gt;0,Aannames!$B$9,0)</x:f>
        <x:v>70</x:v>
      </x:c>
      <x:c r="K29" t="n">
        <x:f>D29*(Aannames!$B$7+Aannames!$B$8)+E29*Aannames!$B$10+Aannames!$B$11+J29</x:f>
        <x:v>113.5</x:v>
      </x:c>
      <x:c r="L29" s="18" t="n">
        <x:f>H29-I29-K29*Aannames!$B$6</x:f>
        <x:v>-441.5</x:v>
      </x:c>
      <x:c r="M29" s="18" t="n">
        <x:f>H29-I29</x:f>
        <x:v>8071</x:v>
      </x:c>
      <x:c r="N29" s="18" t="n">
        <x:f>L29+N28</x:f>
        <x:v>-48466</x:v>
      </x:c>
      <x:c r="O29" s="18" t="n">
        <x:f>M29+O28</x:f>
        <x:v>43034</x:v>
      </x:c>
    </x:row>
    <x:row r="30">
      <x:c r="A30" t="str">
        <x:v>Basis</x:v>
      </x:c>
      <x:c r="B30" t="n">
        <x:v>12</x:v>
      </x:c>
      <x:c r="C30" t="n">
        <x:v>9</x:v>
      </x:c>
      <x:c r="D30" t="n">
        <x:v>3</x:v>
      </x:c>
      <x:c r="E30" t="n">
        <x:f>D30+E29</x:f>
        <x:v>27</x:v>
      </x:c>
      <x:c r="F30" s="18" t="n">
        <x:f>D30*Aannames!$B$4</x:f>
        <x:v>2997</x:v>
      </x:c>
      <x:c r="G30" s="18" t="n">
        <x:f>E30*Aannames!$B$5</x:f>
        <x:v>6723</x:v>
      </x:c>
      <x:c r="H30" s="18" t="n">
        <x:f>F30+G30</x:f>
        <x:v>9720</x:v>
      </x:c>
      <x:c r="I30" s="18" t="n">
        <x:f>E30*Aannames!$B$12+Aannames!$B$13+IF(C30&gt;0,Aannames!$B$16,0)</x:f>
        <x:v>971</x:v>
      </x:c>
      <x:c r="J30" t="n">
        <x:f>IF(C30&gt;0,Aannames!$B$9,0)</x:f>
        <x:v>70</x:v>
      </x:c>
      <x:c r="K30" t="n">
        <x:f>D30*(Aannames!$B$7+Aannames!$B$8)+E30*Aannames!$B$10+Aannames!$B$11+J30</x:f>
        <x:v>115</x:v>
      </x:c>
      <x:c r="L30" s="18" t="n">
        <x:f>H30-I30-K30*Aannames!$B$6</x:f>
        <x:v>124</x:v>
      </x:c>
      <x:c r="M30" s="18" t="n">
        <x:f>H30-I30</x:f>
        <x:v>8749</x:v>
      </x:c>
      <x:c r="N30" s="18" t="n">
        <x:f>L30+N29</x:f>
        <x:v>-48342</x:v>
      </x:c>
      <x:c r="O30" s="18" t="n">
        <x:f>M30+O29</x:f>
        <x:v>51783</x:v>
      </x:c>
    </x:row>
    <x:row r="31">
      <x:c r="A31" t="str">
        <x:v>Basis</x:v>
      </x:c>
      <x:c r="B31" t="n">
        <x:v>13</x:v>
      </x:c>
      <x:c r="C31" t="n">
        <x:v>10</x:v>
      </x:c>
      <x:c r="D31" t="n">
        <x:v>3</x:v>
      </x:c>
      <x:c r="E31" t="n">
        <x:f>D31+E30</x:f>
        <x:v>30</x:v>
      </x:c>
      <x:c r="F31" s="18" t="n">
        <x:f>D31*Aannames!$B$4</x:f>
        <x:v>2997</x:v>
      </x:c>
      <x:c r="G31" s="18" t="n">
        <x:f>E31*Aannames!$B$5</x:f>
        <x:v>7470</x:v>
      </x:c>
      <x:c r="H31" s="18" t="n">
        <x:f>F31+G31</x:f>
        <x:v>10467</x:v>
      </x:c>
      <x:c r="I31" s="18" t="n">
        <x:f>E31*Aannames!$B$12+Aannames!$B$13+IF(C31&gt;0,Aannames!$B$16,0)</x:f>
        <x:v>1040</x:v>
      </x:c>
      <x:c r="J31" t="n">
        <x:f>IF(C31&gt;0,Aannames!$B$9,0)</x:f>
        <x:v>70</x:v>
      </x:c>
      <x:c r="K31" t="n">
        <x:f>D31*(Aannames!$B$7+Aannames!$B$8)+E31*Aannames!$B$10+Aannames!$B$11+J31</x:f>
        <x:v>116.5</x:v>
      </x:c>
      <x:c r="L31" s="18" t="n">
        <x:f>H31-I31-K31*Aannames!$B$6</x:f>
        <x:v>689.5</x:v>
      </x:c>
      <x:c r="M31" s="18" t="n">
        <x:f>H31-I31</x:f>
        <x:v>9427</x:v>
      </x:c>
      <x:c r="N31" s="18" t="n">
        <x:f>L31+N30</x:f>
        <x:v>-47652.5</x:v>
      </x:c>
      <x:c r="O31" s="18" t="n">
        <x:f>M31+O30</x:f>
        <x:v>61210</x:v>
      </x:c>
    </x:row>
    <x:row r="32">
      <x:c r="A32" t="str">
        <x:v>Basis</x:v>
      </x:c>
      <x:c r="B32" t="n">
        <x:v>14</x:v>
      </x:c>
      <x:c r="C32" t="n">
        <x:v>11</x:v>
      </x:c>
      <x:c r="D32" t="n">
        <x:v>3</x:v>
      </x:c>
      <x:c r="E32" t="n">
        <x:f>D32+E31</x:f>
        <x:v>33</x:v>
      </x:c>
      <x:c r="F32" s="18" t="n">
        <x:f>D32*Aannames!$B$4</x:f>
        <x:v>2997</x:v>
      </x:c>
      <x:c r="G32" s="18" t="n">
        <x:f>E32*Aannames!$B$5</x:f>
        <x:v>8217</x:v>
      </x:c>
      <x:c r="H32" s="18" t="n">
        <x:f>F32+G32</x:f>
        <x:v>11214</x:v>
      </x:c>
      <x:c r="I32" s="18" t="n">
        <x:f>E32*Aannames!$B$12+Aannames!$B$13+IF(C32&gt;0,Aannames!$B$16,0)</x:f>
        <x:v>1109</x:v>
      </x:c>
      <x:c r="J32" t="n">
        <x:f>IF(C32&gt;0,Aannames!$B$9,0)</x:f>
        <x:v>70</x:v>
      </x:c>
      <x:c r="K32" t="n">
        <x:f>D32*(Aannames!$B$7+Aannames!$B$8)+E32*Aannames!$B$10+Aannames!$B$11+J32</x:f>
        <x:v>118</x:v>
      </x:c>
      <x:c r="L32" s="18" t="n">
        <x:f>H32-I32-K32*Aannames!$B$6</x:f>
        <x:v>1255</x:v>
      </x:c>
      <x:c r="M32" s="18" t="n">
        <x:f>H32-I32</x:f>
        <x:v>10105</x:v>
      </x:c>
      <x:c r="N32" s="18" t="n">
        <x:f>L32+N31</x:f>
        <x:v>-46397.5</x:v>
      </x:c>
      <x:c r="O32" s="18" t="n">
        <x:f>M32+O31</x:f>
        <x:v>71315</x:v>
      </x:c>
    </x:row>
    <x:row r="33">
      <x:c r="A33" t="str">
        <x:v>Basis</x:v>
      </x:c>
      <x:c r="B33" t="n">
        <x:v>15</x:v>
      </x:c>
      <x:c r="C33" t="n">
        <x:v>12</x:v>
      </x:c>
      <x:c r="D33" t="n">
        <x:v>3</x:v>
      </x:c>
      <x:c r="E33" t="n">
        <x:f>D33+E32</x:f>
        <x:v>36</x:v>
      </x:c>
      <x:c r="F33" s="18" t="n">
        <x:f>D33*Aannames!$B$4</x:f>
        <x:v>2997</x:v>
      </x:c>
      <x:c r="G33" s="18" t="n">
        <x:f>E33*Aannames!$B$5</x:f>
        <x:v>8964</x:v>
      </x:c>
      <x:c r="H33" s="18" t="n">
        <x:f>F33+G33</x:f>
        <x:v>11961</x:v>
      </x:c>
      <x:c r="I33" s="18" t="n">
        <x:f>E33*Aannames!$B$12+Aannames!$B$13+IF(C33&gt;0,Aannames!$B$16,0)</x:f>
        <x:v>1178</x:v>
      </x:c>
      <x:c r="J33" t="n">
        <x:f>IF(C33&gt;0,Aannames!$B$9,0)</x:f>
        <x:v>70</x:v>
      </x:c>
      <x:c r="K33" t="n">
        <x:f>D33*(Aannames!$B$7+Aannames!$B$8)+E33*Aannames!$B$10+Aannames!$B$11+J33</x:f>
        <x:v>119.5</x:v>
      </x:c>
      <x:c r="L33" s="18" t="n">
        <x:f>H33-I33-K33*Aannames!$B$6</x:f>
        <x:v>1820.5</x:v>
      </x:c>
      <x:c r="M33" s="18" t="n">
        <x:f>H33-I33</x:f>
        <x:v>10783</x:v>
      </x:c>
      <x:c r="N33" s="18" t="n">
        <x:f>L33+N32</x:f>
        <x:v>-44577</x:v>
      </x:c>
      <x:c r="O33" s="18" t="n">
        <x:f>M33+O32</x:f>
        <x:v>82098</x:v>
      </x:c>
    </x:row>
    <x:row r="34">
      <x:c r="A34" t="str">
        <x:v>Ambitieus</x:v>
      </x:c>
      <x:c r="B34" t="n">
        <x:v>1</x:v>
      </x:c>
      <x:c r="C34" t="n">
        <x:v>0</x:v>
      </x:c>
      <x:c r="D34" t="n">
        <x:v>0</x:v>
      </x:c>
      <x:c r="E34" t="n">
        <x:f>D34</x:f>
        <x:v>0</x:v>
      </x:c>
      <x:c r="F34" s="18" t="n">
        <x:f>D34*Aannames!$B$4</x:f>
        <x:v>0</x:v>
      </x:c>
      <x:c r="G34" s="18" t="n">
        <x:f>E34*Aannames!$B$5</x:f>
        <x:v>0</x:v>
      </x:c>
      <x:c r="H34" s="18" t="n">
        <x:f>F34+G34</x:f>
        <x:v>0</x:v>
      </x:c>
      <x:c r="I34" s="18" t="n">
        <x:f>E34*Aannames!$B$12+Aannames!$B$13+Aannames!$B$15+IF(C34&gt;0,Aannames!$B$16,0)</x:f>
        <x:v>1850</x:v>
      </x:c>
      <x:c r="J34" t="n">
        <x:f>IF(C34&gt;0,Aannames!$B$9,0)</x:f>
        <x:v>0</x:v>
      </x:c>
      <x:c r="K34" t="n">
        <x:f>D34*(Aannames!$B$7+Aannames!$B$8)+E34*Aannames!$B$10+Aannames!$B$11+J34+Aannames!$B$14/3</x:f>
        <x:v>118</x:v>
      </x:c>
      <x:c r="L34" s="18" t="n">
        <x:f>H34-I34-K34*Aannames!$B$6</x:f>
        <x:v>-10700</x:v>
      </x:c>
      <x:c r="M34" s="18" t="n">
        <x:f>H34-I34</x:f>
        <x:v>-1850</x:v>
      </x:c>
      <x:c r="N34" s="18" t="n">
        <x:f>L34</x:f>
        <x:v>-10700</x:v>
      </x:c>
      <x:c r="O34" s="18" t="n">
        <x:f>M34</x:f>
        <x:v>-1850</x:v>
      </x:c>
    </x:row>
    <x:row r="35">
      <x:c r="A35" t="str">
        <x:v>Ambitieus</x:v>
      </x:c>
      <x:c r="B35" t="n">
        <x:v>2</x:v>
      </x:c>
      <x:c r="C35" t="n">
        <x:v>0</x:v>
      </x:c>
      <x:c r="D35" t="n">
        <x:v>0</x:v>
      </x:c>
      <x:c r="E35" t="n">
        <x:f>D35+E34</x:f>
        <x:v>0</x:v>
      </x:c>
      <x:c r="F35" s="18" t="n">
        <x:f>D35*Aannames!$B$4</x:f>
        <x:v>0</x:v>
      </x:c>
      <x:c r="G35" s="18" t="n">
        <x:f>E35*Aannames!$B$5</x:f>
        <x:v>0</x:v>
      </x:c>
      <x:c r="H35" s="18" t="n">
        <x:f>F35+G35</x:f>
        <x:v>0</x:v>
      </x:c>
      <x:c r="I35" s="18" t="n">
        <x:f>E35*Aannames!$B$12+Aannames!$B$13+IF(C35&gt;0,Aannames!$B$16,0)</x:f>
        <x:v>350</x:v>
      </x:c>
      <x:c r="J35" t="n">
        <x:f>IF(C35&gt;0,Aannames!$B$9,0)</x:f>
        <x:v>0</x:v>
      </x:c>
      <x:c r="K35" t="n">
        <x:f>D35*(Aannames!$B$7+Aannames!$B$8)+E35*Aannames!$B$10+Aannames!$B$11+J35+Aannames!$B$14/3</x:f>
        <x:v>118</x:v>
      </x:c>
      <x:c r="L35" s="18" t="n">
        <x:f>H35-I35-K35*Aannames!$B$6</x:f>
        <x:v>-9200</x:v>
      </x:c>
      <x:c r="M35" s="18" t="n">
        <x:f>H35-I35</x:f>
        <x:v>-350</x:v>
      </x:c>
      <x:c r="N35" s="18" t="n">
        <x:f>L35+N34</x:f>
        <x:v>-19900</x:v>
      </x:c>
      <x:c r="O35" s="18" t="n">
        <x:f>M35+O34</x:f>
        <x:v>-2200</x:v>
      </x:c>
    </x:row>
    <x:row r="36">
      <x:c r="A36" t="str">
        <x:v>Ambitieus</x:v>
      </x:c>
      <x:c r="B36" t="n">
        <x:v>3</x:v>
      </x:c>
      <x:c r="C36" t="n">
        <x:v>0</x:v>
      </x:c>
      <x:c r="D36" t="n">
        <x:v>0</x:v>
      </x:c>
      <x:c r="E36" t="n">
        <x:f>D36+E35</x:f>
        <x:v>0</x:v>
      </x:c>
      <x:c r="F36" s="18" t="n">
        <x:f>D36*Aannames!$B$4</x:f>
        <x:v>0</x:v>
      </x:c>
      <x:c r="G36" s="18" t="n">
        <x:f>E36*Aannames!$B$5</x:f>
        <x:v>0</x:v>
      </x:c>
      <x:c r="H36" s="18" t="n">
        <x:f>F36+G36</x:f>
        <x:v>0</x:v>
      </x:c>
      <x:c r="I36" s="18" t="n">
        <x:f>E36*Aannames!$B$12+Aannames!$B$13+IF(C36&gt;0,Aannames!$B$16,0)</x:f>
        <x:v>350</x:v>
      </x:c>
      <x:c r="J36" t="n">
        <x:f>IF(C36&gt;0,Aannames!$B$9,0)</x:f>
        <x:v>0</x:v>
      </x:c>
      <x:c r="K36" t="n">
        <x:f>D36*(Aannames!$B$7+Aannames!$B$8)+E36*Aannames!$B$10+Aannames!$B$11+J36+Aannames!$B$14/3</x:f>
        <x:v>118</x:v>
      </x:c>
      <x:c r="L36" s="18" t="n">
        <x:f>H36-I36-K36*Aannames!$B$6</x:f>
        <x:v>-9200</x:v>
      </x:c>
      <x:c r="M36" s="18" t="n">
        <x:f>H36-I36</x:f>
        <x:v>-350</x:v>
      </x:c>
      <x:c r="N36" s="18" t="n">
        <x:f>L36+N35</x:f>
        <x:v>-29100</x:v>
      </x:c>
      <x:c r="O36" s="18" t="n">
        <x:f>M36+O35</x:f>
        <x:v>-2550</x:v>
      </x:c>
    </x:row>
    <x:row r="37">
      <x:c r="A37" t="str">
        <x:v>Ambitieus</x:v>
      </x:c>
      <x:c r="B37" t="n">
        <x:v>4</x:v>
      </x:c>
      <x:c r="C37" t="n">
        <x:v>1</x:v>
      </x:c>
      <x:c r="D37" t="n">
        <x:v>5</x:v>
      </x:c>
      <x:c r="E37" t="n">
        <x:f>D37+E36</x:f>
        <x:v>5</x:v>
      </x:c>
      <x:c r="F37" s="18" t="n">
        <x:f>D37*Aannames!$B$4</x:f>
        <x:v>4995</x:v>
      </x:c>
      <x:c r="G37" s="18" t="n">
        <x:f>E37*Aannames!$B$5</x:f>
        <x:v>1245</x:v>
      </x:c>
      <x:c r="H37" s="18" t="n">
        <x:f>F37+G37</x:f>
        <x:v>6240</x:v>
      </x:c>
      <x:c r="I37" s="18" t="n">
        <x:f>E37*Aannames!$B$12+Aannames!$B$13+IF(C37&gt;0,Aannames!$B$16,0)</x:f>
        <x:v>465</x:v>
      </x:c>
      <x:c r="J37" t="n">
        <x:f>IF(C37&gt;0,Aannames!$B$9,0)</x:f>
        <x:v>70</x:v>
      </x:c>
      <x:c r="K37" t="n">
        <x:f>D37*(Aannames!$B$7+Aannames!$B$8)+E37*Aannames!$B$10+Aannames!$B$11+J37</x:f>
        <x:v>113</x:v>
      </x:c>
      <x:c r="L37" s="18" t="n">
        <x:f>H37-I37-K37*Aannames!$B$6</x:f>
        <x:v>-2700</x:v>
      </x:c>
      <x:c r="M37" s="18" t="n">
        <x:f>H37-I37</x:f>
        <x:v>5775</x:v>
      </x:c>
      <x:c r="N37" s="18" t="n">
        <x:f>L37+N36</x:f>
        <x:v>-31800</x:v>
      </x:c>
      <x:c r="O37" s="18" t="n">
        <x:f>M37+O36</x:f>
        <x:v>3225</x:v>
      </x:c>
    </x:row>
    <x:row r="38">
      <x:c r="A38" t="str">
        <x:v>Ambitieus</x:v>
      </x:c>
      <x:c r="B38" t="n">
        <x:v>5</x:v>
      </x:c>
      <x:c r="C38" t="n">
        <x:v>2</x:v>
      </x:c>
      <x:c r="D38" t="n">
        <x:v>5</x:v>
      </x:c>
      <x:c r="E38" t="n">
        <x:f>D38+E37</x:f>
        <x:v>10</x:v>
      </x:c>
      <x:c r="F38" s="18" t="n">
        <x:f>D38*Aannames!$B$4</x:f>
        <x:v>4995</x:v>
      </x:c>
      <x:c r="G38" s="18" t="n">
        <x:f>E38*Aannames!$B$5</x:f>
        <x:v>2490</x:v>
      </x:c>
      <x:c r="H38" s="18" t="n">
        <x:f>F38+G38</x:f>
        <x:v>7485</x:v>
      </x:c>
      <x:c r="I38" s="18" t="n">
        <x:f>E38*Aannames!$B$12+Aannames!$B$13+IF(C38&gt;0,Aannames!$B$16,0)</x:f>
        <x:v>580</x:v>
      </x:c>
      <x:c r="J38" t="n">
        <x:f>IF(C38&gt;0,Aannames!$B$9,0)</x:f>
        <x:v>70</x:v>
      </x:c>
      <x:c r="K38" t="n">
        <x:f>D38*(Aannames!$B$7+Aannames!$B$8)+E38*Aannames!$B$10+Aannames!$B$11+J38</x:f>
        <x:v>115.5</x:v>
      </x:c>
      <x:c r="L38" s="18" t="n">
        <x:f>H38-I38-K38*Aannames!$B$6</x:f>
        <x:v>-1757.5</x:v>
      </x:c>
      <x:c r="M38" s="18" t="n">
        <x:f>H38-I38</x:f>
        <x:v>6905</x:v>
      </x:c>
      <x:c r="N38" s="18" t="n">
        <x:f>L38+N37</x:f>
        <x:v>-33557.5</x:v>
      </x:c>
      <x:c r="O38" s="18" t="n">
        <x:f>M38+O37</x:f>
        <x:v>10130</x:v>
      </x:c>
    </x:row>
    <x:row r="39">
      <x:c r="A39" t="str">
        <x:v>Ambitieus</x:v>
      </x:c>
      <x:c r="B39" t="n">
        <x:v>6</x:v>
      </x:c>
      <x:c r="C39" t="n">
        <x:v>3</x:v>
      </x:c>
      <x:c r="D39" t="n">
        <x:v>5</x:v>
      </x:c>
      <x:c r="E39" t="n">
        <x:f>D39+E38</x:f>
        <x:v>15</x:v>
      </x:c>
      <x:c r="F39" s="18" t="n">
        <x:f>D39*Aannames!$B$4</x:f>
        <x:v>4995</x:v>
      </x:c>
      <x:c r="G39" s="18" t="n">
        <x:f>E39*Aannames!$B$5</x:f>
        <x:v>3735</x:v>
      </x:c>
      <x:c r="H39" s="18" t="n">
        <x:f>F39+G39</x:f>
        <x:v>8730</x:v>
      </x:c>
      <x:c r="I39" s="18" t="n">
        <x:f>E39*Aannames!$B$12+Aannames!$B$13+IF(C39&gt;0,Aannames!$B$16,0)</x:f>
        <x:v>695</x:v>
      </x:c>
      <x:c r="J39" t="n">
        <x:f>IF(C39&gt;0,Aannames!$B$9,0)</x:f>
        <x:v>70</x:v>
      </x:c>
      <x:c r="K39" t="n">
        <x:f>D39*(Aannames!$B$7+Aannames!$B$8)+E39*Aannames!$B$10+Aannames!$B$11+J39</x:f>
        <x:v>118</x:v>
      </x:c>
      <x:c r="L39" s="18" t="n">
        <x:f>H39-I39-K39*Aannames!$B$6</x:f>
        <x:v>-815</x:v>
      </x:c>
      <x:c r="M39" s="18" t="n">
        <x:f>H39-I39</x:f>
        <x:v>8035</x:v>
      </x:c>
      <x:c r="N39" s="18" t="n">
        <x:f>L39+N38</x:f>
        <x:v>-34372.5</x:v>
      </x:c>
      <x:c r="O39" s="18" t="n">
        <x:f>M39+O38</x:f>
        <x:v>18165</x:v>
      </x:c>
    </x:row>
    <x:row r="40">
      <x:c r="A40" t="str">
        <x:v>Ambitieus</x:v>
      </x:c>
      <x:c r="B40" t="n">
        <x:v>7</x:v>
      </x:c>
      <x:c r="C40" t="n">
        <x:v>4</x:v>
      </x:c>
      <x:c r="D40" t="n">
        <x:v>5</x:v>
      </x:c>
      <x:c r="E40" t="n">
        <x:f>D40+E39</x:f>
        <x:v>20</x:v>
      </x:c>
      <x:c r="F40" s="18" t="n">
        <x:f>D40*Aannames!$B$4</x:f>
        <x:v>4995</x:v>
      </x:c>
      <x:c r="G40" s="18" t="n">
        <x:f>E40*Aannames!$B$5</x:f>
        <x:v>4980</x:v>
      </x:c>
      <x:c r="H40" s="18" t="n">
        <x:f>F40+G40</x:f>
        <x:v>9975</x:v>
      </x:c>
      <x:c r="I40" s="18" t="n">
        <x:f>E40*Aannames!$B$12+Aannames!$B$13+IF(C40&gt;0,Aannames!$B$16,0)</x:f>
        <x:v>810</x:v>
      </x:c>
      <x:c r="J40" t="n">
        <x:f>IF(C40&gt;0,Aannames!$B$9,0)</x:f>
        <x:v>70</x:v>
      </x:c>
      <x:c r="K40" t="n">
        <x:f>D40*(Aannames!$B$7+Aannames!$B$8)+E40*Aannames!$B$10+Aannames!$B$11+J40</x:f>
        <x:v>120.5</x:v>
      </x:c>
      <x:c r="L40" s="18" t="n">
        <x:f>H40-I40-K40*Aannames!$B$6</x:f>
        <x:v>127.5</x:v>
      </x:c>
      <x:c r="M40" s="18" t="n">
        <x:f>H40-I40</x:f>
        <x:v>9165</x:v>
      </x:c>
      <x:c r="N40" s="18" t="n">
        <x:f>L40+N39</x:f>
        <x:v>-34245</x:v>
      </x:c>
      <x:c r="O40" s="18" t="n">
        <x:f>M40+O39</x:f>
        <x:v>27330</x:v>
      </x:c>
    </x:row>
    <x:row r="41">
      <x:c r="A41" t="str">
        <x:v>Ambitieus</x:v>
      </x:c>
      <x:c r="B41" t="n">
        <x:v>8</x:v>
      </x:c>
      <x:c r="C41" t="n">
        <x:v>5</x:v>
      </x:c>
      <x:c r="D41" t="n">
        <x:v>5</x:v>
      </x:c>
      <x:c r="E41" t="n">
        <x:f>D41+E40</x:f>
        <x:v>25</x:v>
      </x:c>
      <x:c r="F41" s="18" t="n">
        <x:f>D41*Aannames!$B$4</x:f>
        <x:v>4995</x:v>
      </x:c>
      <x:c r="G41" s="18" t="n">
        <x:f>E41*Aannames!$B$5</x:f>
        <x:v>6225</x:v>
      </x:c>
      <x:c r="H41" s="18" t="n">
        <x:f>F41+G41</x:f>
        <x:v>11220</x:v>
      </x:c>
      <x:c r="I41" s="18" t="n">
        <x:f>E41*Aannames!$B$12+Aannames!$B$13+IF(C41&gt;0,Aannames!$B$16,0)</x:f>
        <x:v>925</x:v>
      </x:c>
      <x:c r="J41" t="n">
        <x:f>IF(C41&gt;0,Aannames!$B$9,0)</x:f>
        <x:v>70</x:v>
      </x:c>
      <x:c r="K41" t="n">
        <x:f>D41*(Aannames!$B$7+Aannames!$B$8)+E41*Aannames!$B$10+Aannames!$B$11+J41</x:f>
        <x:v>123</x:v>
      </x:c>
      <x:c r="L41" s="18" t="n">
        <x:f>H41-I41-K41*Aannames!$B$6</x:f>
        <x:v>1070</x:v>
      </x:c>
      <x:c r="M41" s="18" t="n">
        <x:f>H41-I41</x:f>
        <x:v>10295</x:v>
      </x:c>
      <x:c r="N41" s="18" t="n">
        <x:f>L41+N40</x:f>
        <x:v>-33175</x:v>
      </x:c>
      <x:c r="O41" s="18" t="n">
        <x:f>M41+O40</x:f>
        <x:v>37625</x:v>
      </x:c>
    </x:row>
    <x:row r="42">
      <x:c r="A42" t="str">
        <x:v>Ambitieus</x:v>
      </x:c>
      <x:c r="B42" t="n">
        <x:v>9</x:v>
      </x:c>
      <x:c r="C42" t="n">
        <x:v>6</x:v>
      </x:c>
      <x:c r="D42" t="n">
        <x:v>5</x:v>
      </x:c>
      <x:c r="E42" t="n">
        <x:f>D42+E41</x:f>
        <x:v>30</x:v>
      </x:c>
      <x:c r="F42" s="18" t="n">
        <x:f>D42*Aannames!$B$4</x:f>
        <x:v>4995</x:v>
      </x:c>
      <x:c r="G42" s="18" t="n">
        <x:f>E42*Aannames!$B$5</x:f>
        <x:v>7470</x:v>
      </x:c>
      <x:c r="H42" s="18" t="n">
        <x:f>F42+G42</x:f>
        <x:v>12465</x:v>
      </x:c>
      <x:c r="I42" s="18" t="n">
        <x:f>E42*Aannames!$B$12+Aannames!$B$13+IF(C42&gt;0,Aannames!$B$16,0)</x:f>
        <x:v>1040</x:v>
      </x:c>
      <x:c r="J42" t="n">
        <x:f>IF(C42&gt;0,Aannames!$B$9,0)</x:f>
        <x:v>70</x:v>
      </x:c>
      <x:c r="K42" t="n">
        <x:f>D42*(Aannames!$B$7+Aannames!$B$8)+E42*Aannames!$B$10+Aannames!$B$11+J42</x:f>
        <x:v>125.5</x:v>
      </x:c>
      <x:c r="L42" s="18" t="n">
        <x:f>H42-I42-K42*Aannames!$B$6</x:f>
        <x:v>2012.5</x:v>
      </x:c>
      <x:c r="M42" s="18" t="n">
        <x:f>H42-I42</x:f>
        <x:v>11425</x:v>
      </x:c>
      <x:c r="N42" s="18" t="n">
        <x:f>L42+N41</x:f>
        <x:v>-31162.5</x:v>
      </x:c>
      <x:c r="O42" s="18" t="n">
        <x:f>M42+O41</x:f>
        <x:v>49050</x:v>
      </x:c>
    </x:row>
    <x:row r="43">
      <x:c r="A43" t="str">
        <x:v>Ambitieus</x:v>
      </x:c>
      <x:c r="B43" t="n">
        <x:v>10</x:v>
      </x:c>
      <x:c r="C43" t="n">
        <x:v>7</x:v>
      </x:c>
      <x:c r="D43" t="n">
        <x:v>5</x:v>
      </x:c>
      <x:c r="E43" t="n">
        <x:f>D43+E42</x:f>
        <x:v>35</x:v>
      </x:c>
      <x:c r="F43" s="18" t="n">
        <x:f>D43*Aannames!$B$4</x:f>
        <x:v>4995</x:v>
      </x:c>
      <x:c r="G43" s="18" t="n">
        <x:f>E43*Aannames!$B$5</x:f>
        <x:v>8715</x:v>
      </x:c>
      <x:c r="H43" s="18" t="n">
        <x:f>F43+G43</x:f>
        <x:v>13710</x:v>
      </x:c>
      <x:c r="I43" s="18" t="n">
        <x:f>E43*Aannames!$B$12+Aannames!$B$13+IF(C43&gt;0,Aannames!$B$16,0)</x:f>
        <x:v>1155</x:v>
      </x:c>
      <x:c r="J43" t="n">
        <x:f>IF(C43&gt;0,Aannames!$B$9,0)</x:f>
        <x:v>70</x:v>
      </x:c>
      <x:c r="K43" t="n">
        <x:f>D43*(Aannames!$B$7+Aannames!$B$8)+E43*Aannames!$B$10+Aannames!$B$11+J43</x:f>
        <x:v>128</x:v>
      </x:c>
      <x:c r="L43" s="18" t="n">
        <x:f>H43-I43-K43*Aannames!$B$6</x:f>
        <x:v>2955</x:v>
      </x:c>
      <x:c r="M43" s="18" t="n">
        <x:f>H43-I43</x:f>
        <x:v>12555</x:v>
      </x:c>
      <x:c r="N43" s="18" t="n">
        <x:f>L43+N42</x:f>
        <x:v>-28207.5</x:v>
      </x:c>
      <x:c r="O43" s="18" t="n">
        <x:f>M43+O42</x:f>
        <x:v>61605</x:v>
      </x:c>
    </x:row>
    <x:row r="44">
      <x:c r="A44" t="str">
        <x:v>Ambitieus</x:v>
      </x:c>
      <x:c r="B44" t="n">
        <x:v>11</x:v>
      </x:c>
      <x:c r="C44" t="n">
        <x:v>8</x:v>
      </x:c>
      <x:c r="D44" t="n">
        <x:v>5</x:v>
      </x:c>
      <x:c r="E44" t="n">
        <x:f>D44+E43</x:f>
        <x:v>40</x:v>
      </x:c>
      <x:c r="F44" s="18" t="n">
        <x:f>D44*Aannames!$B$4</x:f>
        <x:v>4995</x:v>
      </x:c>
      <x:c r="G44" s="18" t="n">
        <x:f>E44*Aannames!$B$5</x:f>
        <x:v>9960</x:v>
      </x:c>
      <x:c r="H44" s="18" t="n">
        <x:f>F44+G44</x:f>
        <x:v>14955</x:v>
      </x:c>
      <x:c r="I44" s="18" t="n">
        <x:f>E44*Aannames!$B$12+Aannames!$B$13+IF(C44&gt;0,Aannames!$B$16,0)</x:f>
        <x:v>1270</x:v>
      </x:c>
      <x:c r="J44" t="n">
        <x:f>IF(C44&gt;0,Aannames!$B$9,0)</x:f>
        <x:v>70</x:v>
      </x:c>
      <x:c r="K44" t="n">
        <x:f>D44*(Aannames!$B$7+Aannames!$B$8)+E44*Aannames!$B$10+Aannames!$B$11+J44</x:f>
        <x:v>130.5</x:v>
      </x:c>
      <x:c r="L44" s="18" t="n">
        <x:f>H44-I44-K44*Aannames!$B$6</x:f>
        <x:v>3897.5</x:v>
      </x:c>
      <x:c r="M44" s="18" t="n">
        <x:f>H44-I44</x:f>
        <x:v>13685</x:v>
      </x:c>
      <x:c r="N44" s="18" t="n">
        <x:f>L44+N43</x:f>
        <x:v>-24310</x:v>
      </x:c>
      <x:c r="O44" s="18" t="n">
        <x:f>M44+O43</x:f>
        <x:v>75290</x:v>
      </x:c>
    </x:row>
    <x:row r="45">
      <x:c r="A45" t="str">
        <x:v>Ambitieus</x:v>
      </x:c>
      <x:c r="B45" t="n">
        <x:v>12</x:v>
      </x:c>
      <x:c r="C45" t="n">
        <x:v>9</x:v>
      </x:c>
      <x:c r="D45" t="n">
        <x:v>5</x:v>
      </x:c>
      <x:c r="E45" t="n">
        <x:f>D45+E44</x:f>
        <x:v>45</x:v>
      </x:c>
      <x:c r="F45" s="18" t="n">
        <x:f>D45*Aannames!$B$4</x:f>
        <x:v>4995</x:v>
      </x:c>
      <x:c r="G45" s="18" t="n">
        <x:f>E45*Aannames!$B$5</x:f>
        <x:v>11205</x:v>
      </x:c>
      <x:c r="H45" s="18" t="n">
        <x:f>F45+G45</x:f>
        <x:v>16200</x:v>
      </x:c>
      <x:c r="I45" s="18" t="n">
        <x:f>E45*Aannames!$B$12+Aannames!$B$13+IF(C45&gt;0,Aannames!$B$16,0)</x:f>
        <x:v>1385</x:v>
      </x:c>
      <x:c r="J45" t="n">
        <x:f>IF(C45&gt;0,Aannames!$B$9,0)</x:f>
        <x:v>70</x:v>
      </x:c>
      <x:c r="K45" t="n">
        <x:f>D45*(Aannames!$B$7+Aannames!$B$8)+E45*Aannames!$B$10+Aannames!$B$11+J45</x:f>
        <x:v>133</x:v>
      </x:c>
      <x:c r="L45" s="18" t="n">
        <x:f>H45-I45-K45*Aannames!$B$6</x:f>
        <x:v>4840</x:v>
      </x:c>
      <x:c r="M45" s="18" t="n">
        <x:f>H45-I45</x:f>
        <x:v>14815</x:v>
      </x:c>
      <x:c r="N45" s="18" t="n">
        <x:f>L45+N44</x:f>
        <x:v>-19470</x:v>
      </x:c>
      <x:c r="O45" s="18" t="n">
        <x:f>M45+O44</x:f>
        <x:v>90105</x:v>
      </x:c>
    </x:row>
    <x:row r="46">
      <x:c r="A46" t="str">
        <x:v>Ambitieus</x:v>
      </x:c>
      <x:c r="B46" t="n">
        <x:v>13</x:v>
      </x:c>
      <x:c r="C46" t="n">
        <x:v>10</x:v>
      </x:c>
      <x:c r="D46" t="n">
        <x:v>5</x:v>
      </x:c>
      <x:c r="E46" t="n">
        <x:f>D46+E45</x:f>
        <x:v>50</x:v>
      </x:c>
      <x:c r="F46" s="18" t="n">
        <x:f>D46*Aannames!$B$4</x:f>
        <x:v>4995</x:v>
      </x:c>
      <x:c r="G46" s="18" t="n">
        <x:f>E46*Aannames!$B$5</x:f>
        <x:v>12450</x:v>
      </x:c>
      <x:c r="H46" s="18" t="n">
        <x:f>F46+G46</x:f>
        <x:v>17445</x:v>
      </x:c>
      <x:c r="I46" s="18" t="n">
        <x:f>E46*Aannames!$B$12+Aannames!$B$13+IF(C46&gt;0,Aannames!$B$16,0)</x:f>
        <x:v>1500</x:v>
      </x:c>
      <x:c r="J46" t="n">
        <x:f>IF(C46&gt;0,Aannames!$B$9,0)</x:f>
        <x:v>70</x:v>
      </x:c>
      <x:c r="K46" t="n">
        <x:f>D46*(Aannames!$B$7+Aannames!$B$8)+E46*Aannames!$B$10+Aannames!$B$11+J46</x:f>
        <x:v>135.5</x:v>
      </x:c>
      <x:c r="L46" s="18" t="n">
        <x:f>H46-I46-K46*Aannames!$B$6</x:f>
        <x:v>5782.5</x:v>
      </x:c>
      <x:c r="M46" s="18" t="n">
        <x:f>H46-I46</x:f>
        <x:v>15945</x:v>
      </x:c>
      <x:c r="N46" s="18" t="n">
        <x:f>L46+N45</x:f>
        <x:v>-13687.5</x:v>
      </x:c>
      <x:c r="O46" s="18" t="n">
        <x:f>M46+O45</x:f>
        <x:v>106050</x:v>
      </x:c>
    </x:row>
    <x:row r="47">
      <x:c r="A47" t="str">
        <x:v>Ambitieus</x:v>
      </x:c>
      <x:c r="B47" t="n">
        <x:v>14</x:v>
      </x:c>
      <x:c r="C47" t="n">
        <x:v>11</x:v>
      </x:c>
      <x:c r="D47" t="n">
        <x:v>5</x:v>
      </x:c>
      <x:c r="E47" t="n">
        <x:f>D47+E46</x:f>
        <x:v>55</x:v>
      </x:c>
      <x:c r="F47" s="18" t="n">
        <x:f>D47*Aannames!$B$4</x:f>
        <x:v>4995</x:v>
      </x:c>
      <x:c r="G47" s="18" t="n">
        <x:f>E47*Aannames!$B$5</x:f>
        <x:v>13695</x:v>
      </x:c>
      <x:c r="H47" s="18" t="n">
        <x:f>F47+G47</x:f>
        <x:v>18690</x:v>
      </x:c>
      <x:c r="I47" s="18" t="n">
        <x:f>E47*Aannames!$B$12+Aannames!$B$13+IF(C47&gt;0,Aannames!$B$16,0)</x:f>
        <x:v>1615</x:v>
      </x:c>
      <x:c r="J47" t="n">
        <x:f>IF(C47&gt;0,Aannames!$B$9,0)</x:f>
        <x:v>70</x:v>
      </x:c>
      <x:c r="K47" t="n">
        <x:f>D47*(Aannames!$B$7+Aannames!$B$8)+E47*Aannames!$B$10+Aannames!$B$11+J47</x:f>
        <x:v>138</x:v>
      </x:c>
      <x:c r="L47" s="18" t="n">
        <x:f>H47-I47-K47*Aannames!$B$6</x:f>
        <x:v>6725</x:v>
      </x:c>
      <x:c r="M47" s="18" t="n">
        <x:f>H47-I47</x:f>
        <x:v>17075</x:v>
      </x:c>
      <x:c r="N47" s="18" t="n">
        <x:f>L47+N46</x:f>
        <x:v>-6962.5</x:v>
      </x:c>
      <x:c r="O47" s="18" t="n">
        <x:f>M47+O46</x:f>
        <x:v>123125</x:v>
      </x:c>
    </x:row>
    <x:row r="48">
      <x:c r="A48" t="str">
        <x:v>Ambitieus</x:v>
      </x:c>
      <x:c r="B48" t="n">
        <x:v>15</x:v>
      </x:c>
      <x:c r="C48" t="n">
        <x:v>12</x:v>
      </x:c>
      <x:c r="D48" t="n">
        <x:v>5</x:v>
      </x:c>
      <x:c r="E48" t="n">
        <x:f>D48+E47</x:f>
        <x:v>60</x:v>
      </x:c>
      <x:c r="F48" s="18" t="n">
        <x:f>D48*Aannames!$B$4</x:f>
        <x:v>4995</x:v>
      </x:c>
      <x:c r="G48" s="18" t="n">
        <x:f>E48*Aannames!$B$5</x:f>
        <x:v>14940</x:v>
      </x:c>
      <x:c r="H48" s="18" t="n">
        <x:f>F48+G48</x:f>
        <x:v>19935</x:v>
      </x:c>
      <x:c r="I48" s="18" t="n">
        <x:f>E48*Aannames!$B$12+Aannames!$B$13+IF(C48&gt;0,Aannames!$B$16,0)</x:f>
        <x:v>1730</x:v>
      </x:c>
      <x:c r="J48" t="n">
        <x:f>IF(C48&gt;0,Aannames!$B$9,0)</x:f>
        <x:v>70</x:v>
      </x:c>
      <x:c r="K48" t="n">
        <x:f>D48*(Aannames!$B$7+Aannames!$B$8)+E48*Aannames!$B$10+Aannames!$B$11+J48</x:f>
        <x:v>140.5</x:v>
      </x:c>
      <x:c r="L48" s="18" t="n">
        <x:f>H48-I48-K48*Aannames!$B$6</x:f>
        <x:v>7667.5</x:v>
      </x:c>
      <x:c r="M48" s="18" t="n">
        <x:f>H48-I48</x:f>
        <x:v>18205</x:v>
      </x:c>
      <x:c r="N48" s="18" t="n">
        <x:f>L48+N47</x:f>
        <x:v>705</x:v>
      </x:c>
      <x:c r="O48" s="18" t="n">
        <x:f>M48+O47</x:f>
        <x:v>141330</x:v>
      </x:c>
    </x:row>
  </x:sheetData>
  <x:mergeCells>
    <x:mergeCell ref="A1:O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</x:cols>
  <x:sheetData>
    <x:row r="1" ht="36" customHeight="1">
      <x:c r="A1" s="3" t="str">
        <x:v>Kwartaalprognose | Vier verkoopkwartalen</x:v>
      </x:c>
      <x:c r="B1" s="3"/>
      <x:c r="C1" s="3"/>
      <x:c r="D1" s="3"/>
      <x:c r="E1" s="3"/>
      <x:c r="F1" s="3"/>
      <x:c r="G1" s="3"/>
      <x:c r="H1" s="3"/>
    </x:row>
    <x:row r="3" ht="27" customHeight="1">
      <x:c r="A3" s="6" t="str">
        <x:v>Scenario</x:v>
      </x:c>
      <x:c r="B3" s="6" t="str">
        <x:v>Verkoopkwartaal</x:v>
      </x:c>
      <x:c r="C3" s="6" t="str">
        <x:v>Nieuwe klanten</x:v>
      </x:c>
      <x:c r="D3" s="6" t="str">
        <x:v>Actief eind</x:v>
      </x:c>
      <x:c r="E3" s="6" t="str">
        <x:v>MRR eind</x:v>
      </x:c>
      <x:c r="F3" s="6" t="str">
        <x:v>Omzet kwartaal</x:v>
      </x:c>
      <x:c r="G3" s="6" t="str">
        <x:v>Economisch resultaat</x:v>
      </x:c>
      <x:c r="H3" s="6" t="str">
        <x:v>Cashbijdrage</x:v>
      </x:c>
    </x:row>
    <x:row r="4">
      <x:c r="A4" t="str">
        <x:v>Voorzichtig</x:v>
      </x:c>
      <x:c r="B4" t="n">
        <x:v>1</x:v>
      </x:c>
      <x:c r="C4" t="n">
        <x:f>SUM(Maandprognose!D7:D9)</x:f>
        <x:v>4</x:v>
      </x:c>
      <x:c r="D4" t="n">
        <x:f>Maandprognose!E9</x:f>
        <x:v>4</x:v>
      </x:c>
      <x:c r="E4" s="18" t="n">
        <x:f>Maandprognose!G9</x:f>
        <x:v>996</x:v>
      </x:c>
      <x:c r="F4" s="18" t="n">
        <x:f>SUM(Maandprognose!H7:H9)</x:f>
        <x:v>5988</x:v>
      </x:c>
      <x:c r="G4" s="18" t="n">
        <x:f>SUM(Maandprognose!L7:L9)</x:f>
        <x:v>-16696</x:v>
      </x:c>
      <x:c r="H4" s="18" t="n">
        <x:f>SUM(Maandprognose!M7:M9)</x:f>
        <x:v>4754</x:v>
      </x:c>
    </x:row>
    <x:row r="5">
      <x:c r="A5" t="str">
        <x:v>Voorzichtig</x:v>
      </x:c>
      <x:c r="B5" t="n">
        <x:v>2</x:v>
      </x:c>
      <x:c r="C5" t="n">
        <x:f>SUM(Maandprognose!D10:D12)</x:f>
        <x:v>5</x:v>
      </x:c>
      <x:c r="D5" t="n">
        <x:f>Maandprognose!E12</x:f>
        <x:v>9</x:v>
      </x:c>
      <x:c r="E5" s="18" t="n">
        <x:f>Maandprognose!G12</x:f>
        <x:v>2241</x:v>
      </x:c>
      <x:c r="F5" s="18" t="n">
        <x:f>SUM(Maandprognose!H10:H12)</x:f>
        <x:v>10473</x:v>
      </x:c>
      <x:c r="G5" s="18" t="n">
        <x:f>SUM(Maandprognose!L10:L12)</x:f>
        <x:v>-13395.5</x:v>
      </x:c>
      <x:c r="H5" s="18" t="n">
        <x:f>SUM(Maandprognose!M10:M12)</x:f>
        <x:v>8917</x:v>
      </x:c>
    </x:row>
    <x:row r="6">
      <x:c r="A6" t="str">
        <x:v>Voorzichtig</x:v>
      </x:c>
      <x:c r="B6" t="n">
        <x:v>3</x:v>
      </x:c>
      <x:c r="C6" t="n">
        <x:f>SUM(Maandprognose!D13:D15)</x:f>
        <x:v>4</x:v>
      </x:c>
      <x:c r="D6" t="n">
        <x:f>Maandprognose!E15</x:f>
        <x:v>13</x:v>
      </x:c>
      <x:c r="E6" s="18" t="n">
        <x:f>Maandprognose!G15</x:f>
        <x:v>3237</x:v>
      </x:c>
      <x:c r="F6" s="18" t="n">
        <x:f>SUM(Maandprognose!H13:H15)</x:f>
        <x:v>12711</x:v>
      </x:c>
      <x:c r="G6" s="18" t="n">
        <x:f>SUM(Maandprognose!L13:L15)</x:f>
        <x:v>-11606.5</x:v>
      </x:c>
      <x:c r="H6" s="18" t="n">
        <x:f>SUM(Maandprognose!M13:M15)</x:f>
        <x:v>10856</x:v>
      </x:c>
    </x:row>
    <x:row r="7">
      <x:c r="A7" t="str">
        <x:v>Voorzichtig</x:v>
      </x:c>
      <x:c r="B7" t="n">
        <x:v>4</x:v>
      </x:c>
      <x:c r="C7" t="n">
        <x:f>SUM(Maandprognose!D16:D18)</x:f>
        <x:v>5</x:v>
      </x:c>
      <x:c r="D7" t="n">
        <x:f>Maandprognose!E18</x:f>
        <x:v>18</x:v>
      </x:c>
      <x:c r="E7" s="18" t="n">
        <x:f>Maandprognose!G18</x:f>
        <x:v>4482</x:v>
      </x:c>
      <x:c r="F7" s="18" t="n">
        <x:f>SUM(Maandprognose!H16:H18)</x:f>
        <x:v>17196</x:v>
      </x:c>
      <x:c r="G7" s="18" t="n">
        <x:f>SUM(Maandprognose!L16:L18)</x:f>
        <x:v>-8306</x:v>
      </x:c>
      <x:c r="H7" s="18" t="n">
        <x:f>SUM(Maandprognose!M16:M18)</x:f>
        <x:v>15019</x:v>
      </x:c>
    </x:row>
    <x:row r="8">
      <x:c r="A8" t="str">
        <x:v>Basis</x:v>
      </x:c>
      <x:c r="B8" t="n">
        <x:v>1</x:v>
      </x:c>
      <x:c r="C8" t="n">
        <x:f>SUM(Maandprognose!D22:D24)</x:f>
        <x:v>9</x:v>
      </x:c>
      <x:c r="D8" t="n">
        <x:f>Maandprognose!E24</x:f>
        <x:v>9</x:v>
      </x:c>
      <x:c r="E8" s="18" t="n">
        <x:f>Maandprognose!G24</x:f>
        <x:v>2241</x:v>
      </x:c>
      <x:c r="F8" s="18" t="n">
        <x:f>SUM(Maandprognose!H22:H24)</x:f>
        <x:v>13473</x:v>
      </x:c>
      <x:c r="G8" s="18" t="n">
        <x:f>SUM(Maandprognose!L22:L24)</x:f>
        <x:v>-11503.5</x:v>
      </x:c>
      <x:c r="H8" s="18" t="n">
        <x:f>SUM(Maandprognose!M22:M24)</x:f>
        <x:v>12009</x:v>
      </x:c>
    </x:row>
    <x:row r="9">
      <x:c r="A9" t="str">
        <x:v>Basis</x:v>
      </x:c>
      <x:c r="B9" t="n">
        <x:v>2</x:v>
      </x:c>
      <x:c r="C9" t="n">
        <x:f>SUM(Maandprognose!D25:D27)</x:f>
        <x:v>9</x:v>
      </x:c>
      <x:c r="D9" t="n">
        <x:f>Maandprognose!E27</x:f>
        <x:v>18</x:v>
      </x:c>
      <x:c r="E9" s="18" t="n">
        <x:f>Maandprognose!G27</x:f>
        <x:v>4482</x:v>
      </x:c>
      <x:c r="F9" s="18" t="n">
        <x:f>SUM(Maandprognose!H25:H27)</x:f>
        <x:v>20196</x:v>
      </x:c>
      <x:c r="G9" s="18" t="n">
        <x:f>SUM(Maandprognose!L25:L27)</x:f>
        <x:v>-6414</x:v>
      </x:c>
      <x:c r="H9" s="18" t="n">
        <x:f>SUM(Maandprognose!M25:M27)</x:f>
        <x:v>18111</x:v>
      </x:c>
    </x:row>
    <x:row r="10">
      <x:c r="A10" t="str">
        <x:v>Basis</x:v>
      </x:c>
      <x:c r="B10" t="n">
        <x:v>3</x:v>
      </x:c>
      <x:c r="C10" t="n">
        <x:f>SUM(Maandprognose!D28:D30)</x:f>
        <x:v>9</x:v>
      </x:c>
      <x:c r="D10" t="n">
        <x:f>Maandprognose!E30</x:f>
        <x:v>27</x:v>
      </x:c>
      <x:c r="E10" s="18" t="n">
        <x:f>Maandprognose!G30</x:f>
        <x:v>6723</x:v>
      </x:c>
      <x:c r="F10" s="18" t="n">
        <x:f>SUM(Maandprognose!H28:H30)</x:f>
        <x:v>26919</x:v>
      </x:c>
      <x:c r="G10" s="18" t="n">
        <x:f>SUM(Maandprognose!L28:L30)</x:f>
        <x:v>-1324.5</x:v>
      </x:c>
      <x:c r="H10" s="18" t="n">
        <x:f>SUM(Maandprognose!M28:M30)</x:f>
        <x:v>24213</x:v>
      </x:c>
    </x:row>
    <x:row r="11">
      <x:c r="A11" t="str">
        <x:v>Basis</x:v>
      </x:c>
      <x:c r="B11" t="n">
        <x:v>4</x:v>
      </x:c>
      <x:c r="C11" t="n">
        <x:f>SUM(Maandprognose!D31:D33)</x:f>
        <x:v>9</x:v>
      </x:c>
      <x:c r="D11" t="n">
        <x:f>Maandprognose!E33</x:f>
        <x:v>36</x:v>
      </x:c>
      <x:c r="E11" s="18" t="n">
        <x:f>Maandprognose!G33</x:f>
        <x:v>8964</x:v>
      </x:c>
      <x:c r="F11" s="18" t="n">
        <x:f>SUM(Maandprognose!H31:H33)</x:f>
        <x:v>33642</x:v>
      </x:c>
      <x:c r="G11" s="18" t="n">
        <x:f>SUM(Maandprognose!L31:L33)</x:f>
        <x:v>3765</x:v>
      </x:c>
      <x:c r="H11" s="18" t="n">
        <x:f>SUM(Maandprognose!M31:M33)</x:f>
        <x:v>30315</x:v>
      </x:c>
    </x:row>
    <x:row r="12">
      <x:c r="A12" t="str">
        <x:v>Ambitieus</x:v>
      </x:c>
      <x:c r="B12" t="n">
        <x:v>1</x:v>
      </x:c>
      <x:c r="C12" t="n">
        <x:f>SUM(Maandprognose!D37:D39)</x:f>
        <x:v>15</x:v>
      </x:c>
      <x:c r="D12" t="n">
        <x:f>Maandprognose!E39</x:f>
        <x:v>15</x:v>
      </x:c>
      <x:c r="E12" s="18" t="n">
        <x:f>Maandprognose!G39</x:f>
        <x:v>3735</x:v>
      </x:c>
      <x:c r="F12" s="18" t="n">
        <x:f>SUM(Maandprognose!H37:H39)</x:f>
        <x:v>22455</x:v>
      </x:c>
      <x:c r="G12" s="18" t="n">
        <x:f>SUM(Maandprognose!L37:L39)</x:f>
        <x:v>-5272.5</x:v>
      </x:c>
      <x:c r="H12" s="18" t="n">
        <x:f>SUM(Maandprognose!M37:M39)</x:f>
        <x:v>20715</x:v>
      </x:c>
    </x:row>
    <x:row r="13">
      <x:c r="A13" t="str">
        <x:v>Ambitieus</x:v>
      </x:c>
      <x:c r="B13" t="n">
        <x:v>2</x:v>
      </x:c>
      <x:c r="C13" t="n">
        <x:f>SUM(Maandprognose!D40:D42)</x:f>
        <x:v>15</x:v>
      </x:c>
      <x:c r="D13" t="n">
        <x:f>Maandprognose!E42</x:f>
        <x:v>30</x:v>
      </x:c>
      <x:c r="E13" s="18" t="n">
        <x:f>Maandprognose!G42</x:f>
        <x:v>7470</x:v>
      </x:c>
      <x:c r="F13" s="18" t="n">
        <x:f>SUM(Maandprognose!H40:H42)</x:f>
        <x:v>33660</x:v>
      </x:c>
      <x:c r="G13" s="18" t="n">
        <x:f>SUM(Maandprognose!L40:L42)</x:f>
        <x:v>3210</x:v>
      </x:c>
      <x:c r="H13" s="18" t="n">
        <x:f>SUM(Maandprognose!M40:M42)</x:f>
        <x:v>30885</x:v>
      </x:c>
    </x:row>
    <x:row r="14">
      <x:c r="A14" t="str">
        <x:v>Ambitieus</x:v>
      </x:c>
      <x:c r="B14" t="n">
        <x:v>3</x:v>
      </x:c>
      <x:c r="C14" t="n">
        <x:f>SUM(Maandprognose!D43:D45)</x:f>
        <x:v>15</x:v>
      </x:c>
      <x:c r="D14" t="n">
        <x:f>Maandprognose!E45</x:f>
        <x:v>45</x:v>
      </x:c>
      <x:c r="E14" s="18" t="n">
        <x:f>Maandprognose!G45</x:f>
        <x:v>11205</x:v>
      </x:c>
      <x:c r="F14" s="18" t="n">
        <x:f>SUM(Maandprognose!H43:H45)</x:f>
        <x:v>44865</x:v>
      </x:c>
      <x:c r="G14" s="18" t="n">
        <x:f>SUM(Maandprognose!L43:L45)</x:f>
        <x:v>11692.5</x:v>
      </x:c>
      <x:c r="H14" s="18" t="n">
        <x:f>SUM(Maandprognose!M43:M45)</x:f>
        <x:v>41055</x:v>
      </x:c>
    </x:row>
    <x:row r="15">
      <x:c r="A15" t="str">
        <x:v>Ambitieus</x:v>
      </x:c>
      <x:c r="B15" t="n">
        <x:v>4</x:v>
      </x:c>
      <x:c r="C15" t="n">
        <x:f>SUM(Maandprognose!D46:D48)</x:f>
        <x:v>15</x:v>
      </x:c>
      <x:c r="D15" t="n">
        <x:f>Maandprognose!E48</x:f>
        <x:v>60</x:v>
      </x:c>
      <x:c r="E15" s="18" t="n">
        <x:f>Maandprognose!G48</x:f>
        <x:v>14940</x:v>
      </x:c>
      <x:c r="F15" s="18" t="n">
        <x:f>SUM(Maandprognose!H46:H48)</x:f>
        <x:v>56070</x:v>
      </x:c>
      <x:c r="G15" s="18" t="n">
        <x:f>SUM(Maandprognose!L46:L48)</x:f>
        <x:v>20175</x:v>
      </x:c>
      <x:c r="H15" s="18" t="n">
        <x:f>SUM(Maandprognose!M46:M48)</x:f>
        <x:v>51225</x:v>
      </x:c>
    </x:row>
  </x:sheetData>
  <x:mergeCells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</x:cols>
  <x:sheetData>
    <x:row r="1" ht="36" customHeight="1">
      <x:c r="A1" s="3" t="str">
        <x:v>Scenario-overzicht | Eerste 12 volledige verkoopmaanden</x:v>
      </x:c>
      <x:c r="B1" s="3"/>
      <x:c r="C1" s="3"/>
      <x:c r="D1" s="3"/>
      <x:c r="E1" s="3"/>
      <x:c r="F1" s="3"/>
      <x:c r="G1" s="3"/>
      <x:c r="H1" s="3"/>
    </x:row>
    <x:row r="3" ht="27" customHeight="1">
      <x:c r="A3" s="6" t="str">
        <x:v>Scenario</x:v>
      </x:c>
      <x:c r="B3" s="6" t="str">
        <x:v>Nieuwe klanten</x:v>
      </x:c>
      <x:c r="C3" s="6" t="str">
        <x:v>Omzet</x:v>
      </x:c>
      <x:c r="D3" s="6" t="str">
        <x:v>MRR jaarultimo</x:v>
      </x:c>
      <x:c r="E3" s="6" t="str">
        <x:v>Economisch resultaat</x:v>
      </x:c>
      <x:c r="F3" s="6" t="str">
        <x:v>Cashbijdrage</x:v>
      </x:c>
      <x:c r="G3" s="6" t="str">
        <x:v>Economisch incl. MVP</x:v>
      </x:c>
      <x:c r="H3" s="6" t="str">
        <x:v>Cash incl. MVP</x:v>
      </x:c>
    </x:row>
    <x:row r="4">
      <x:c r="A4" t="str">
        <x:v>Voorzichtig</x:v>
      </x:c>
      <x:c r="B4" t="n">
        <x:f>SUM(Maandprognose!D7:D18)</x:f>
        <x:v>18</x:v>
      </x:c>
      <x:c r="C4" s="18" t="n">
        <x:f>SUM(Maandprognose!H7:H18)</x:f>
        <x:v>46368</x:v>
      </x:c>
      <x:c r="D4" s="18" t="n">
        <x:f>Maandprognose!G18</x:f>
        <x:v>4482</x:v>
      </x:c>
      <x:c r="E4" s="18" t="n">
        <x:f>SUM(Maandprognose!L7:L18)</x:f>
        <x:v>-50004</x:v>
      </x:c>
      <x:c r="F4" s="18" t="n">
        <x:f>SUM(Maandprognose!M7:M18)</x:f>
        <x:v>39546</x:v>
      </x:c>
      <x:c r="G4" s="18" t="n">
        <x:f>Maandprognose!N18</x:f>
        <x:v>-79104</x:v>
      </x:c>
      <x:c r="H4" s="18" t="n">
        <x:f>Maandprognose!O18</x:f>
        <x:v>36996</x:v>
      </x:c>
    </x:row>
    <x:row r="5">
      <x:c r="A5" t="str">
        <x:v>Basis</x:v>
      </x:c>
      <x:c r="B5" t="n">
        <x:f>SUM(Maandprognose!D22:D33)</x:f>
        <x:v>36</x:v>
      </x:c>
      <x:c r="C5" s="18" t="n">
        <x:f>SUM(Maandprognose!H22:H33)</x:f>
        <x:v>94230</x:v>
      </x:c>
      <x:c r="D5" s="18" t="n">
        <x:f>Maandprognose!G33</x:f>
        <x:v>8964</x:v>
      </x:c>
      <x:c r="E5" s="18" t="n">
        <x:f>SUM(Maandprognose!L22:L33)</x:f>
        <x:v>-15477</x:v>
      </x:c>
      <x:c r="F5" s="18" t="n">
        <x:f>SUM(Maandprognose!M22:M33)</x:f>
        <x:v>84648</x:v>
      </x:c>
      <x:c r="G5" s="18" t="n">
        <x:f>Maandprognose!N33</x:f>
        <x:v>-44577</x:v>
      </x:c>
      <x:c r="H5" s="18" t="n">
        <x:f>Maandprognose!O33</x:f>
        <x:v>82098</x:v>
      </x:c>
    </x:row>
    <x:row r="6">
      <x:c r="A6" t="str">
        <x:v>Ambitieus</x:v>
      </x:c>
      <x:c r="B6" t="n">
        <x:f>SUM(Maandprognose!D37:D48)</x:f>
        <x:v>60</x:v>
      </x:c>
      <x:c r="C6" s="18" t="n">
        <x:f>SUM(Maandprognose!H37:H48)</x:f>
        <x:v>157050</x:v>
      </x:c>
      <x:c r="D6" s="18" t="n">
        <x:f>Maandprognose!G48</x:f>
        <x:v>14940</x:v>
      </x:c>
      <x:c r="E6" s="18" t="n">
        <x:f>SUM(Maandprognose!L37:L48)</x:f>
        <x:v>29805</x:v>
      </x:c>
      <x:c r="F6" s="18" t="n">
        <x:f>SUM(Maandprognose!M37:M48)</x:f>
        <x:v>143880</x:v>
      </x:c>
      <x:c r="G6" s="18" t="n">
        <x:f>Maandprognose!N48</x:f>
        <x:v>705</x:v>
      </x:c>
      <x:c r="H6" s="18" t="n">
        <x:f>Maandprognose!O48</x:f>
        <x:v>141330</x:v>
      </x:c>
    </x:row>
    <x:row r="9" ht="37" customHeight="1">
      <x:c r="A9" s="15" t="str">
        <x:v>Economisch = omzet minus externe kosten én eigen uren. Cash = omzet minus externe kosten; exclusief privé, belasting en eventuele advertentie-uitgaven.</x:v>
      </x:c>
      <x:c r="B9" s="15"/>
      <x:c r="C9" s="15"/>
      <x:c r="D9" s="15"/>
      <x:c r="E9" s="15"/>
      <x:c r="F9" s="15"/>
      <x:c r="G9" s="15"/>
      <x:c r="H9" s="15"/>
    </x:row>
  </x:sheetData>
  <x:mergeCells>
    <x:mergeCell ref="A1:H1"/>
    <x:mergeCell ref="A9:H9"/>
  </x:mergeCells>
  <x:pageMargins left="0.7" right="0.7" top="0.75" bottom="0.75" header="0.3" footer="0.3"/>
</x:worksheet>
</file>